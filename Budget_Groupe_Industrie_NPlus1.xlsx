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SH F\"/>
    </mc:Choice>
  </mc:AlternateContent>
  <xr:revisionPtr revIDLastSave="0" documentId="13_ncr:1_{780B467F-8DDE-43C8-95D3-B81F9F0C4EA5}" xr6:coauthVersionLast="47" xr6:coauthVersionMax="47" xr10:uidLastSave="{00000000-0000-0000-0000-000000000000}"/>
  <bookViews>
    <workbookView xWindow="-120" yWindow="-120" windowWidth="29040" windowHeight="15720" tabRatio="500" firstSheet="8" activeTab="12" xr2:uid="{00000000-000D-0000-FFFF-FFFF00000000}"/>
  </bookViews>
  <sheets>
    <sheet name="0_Sommaire" sheetId="1" r:id="rId1"/>
    <sheet name="1_Hypothèses" sheetId="2" r:id="rId2"/>
    <sheet name="2_Dashboard" sheetId="3" r:id="rId3"/>
    <sheet name="3_Drivers_CA" sheetId="4" r:id="rId4"/>
    <sheet name="4_ZBB_Charges" sheetId="5" r:id="rId5"/>
    <sheet name="5_Personnel_CNSS" sheetId="6" r:id="rId6"/>
    <sheet name="6_CPC_Normalisé" sheetId="7" r:id="rId7"/>
    <sheet name="7_Bilan_Synthèse" sheetId="8" r:id="rId8"/>
    <sheet name="8_Reporting_3A" sheetId="9" r:id="rId9"/>
    <sheet name="9_Mapping_CGNC" sheetId="10" r:id="rId10"/>
    <sheet name="10_Heatmap_Ecarts" sheetId="11" r:id="rId11"/>
    <sheet name="11_Contrôles" sheetId="12" r:id="rId12"/>
    <sheet name="12_PowerQuery_Doc" sheetId="13" r:id="rId13"/>
  </sheets>
  <definedNames>
    <definedName name="_xlnm._FilterDatabase" localSheetId="9" hidden="1">'9_Mapping_CGNC'!$B$5:$G$65</definedName>
    <definedName name="AMO_PAT">'1_Hypothèses'!$C$20</definedName>
    <definedName name="AMO_SAL">'1_Hypothèses'!$C$21</definedName>
    <definedName name="BFR_N">'7_Bilan_Synthèse'!$E$60</definedName>
    <definedName name="BFR_NPLUS1">'7_Bilan_Synthèse'!$F$60</definedName>
    <definedName name="CA_DETAIL_RANGE">'3_Drivers_CA'!$R$41:$R$52</definedName>
    <definedName name="CA_TOTAL_NPLUS1">'3_Drivers_CA'!$R$53</definedName>
    <definedName name="CHARGES_PATRONALES">'5_Personnel_CNSS'!$L$23</definedName>
    <definedName name="CIMR_ACTIF">'1_Hypothèses'!$C$25</definedName>
    <definedName name="CIMR_PAT">'1_Hypothèses'!$C$23</definedName>
    <definedName name="CIMR_SAL">'1_Hypothèses'!$C$24</definedName>
    <definedName name="CM_PLANCHER">'1_Hypothèses'!$C$11</definedName>
    <definedName name="CNSS_PAT">'1_Hypothèses'!$C$18</definedName>
    <definedName name="CNSS_SAL">'1_Hypothèses'!$C$19</definedName>
    <definedName name="COUT_EMPLOYEUR_TOTAL">'5_Personnel_CNSS'!$M$23</definedName>
    <definedName name="DIO_CIBLE">'1_Hypothèses'!$C$36</definedName>
    <definedName name="DPO_CIBLE">'1_Hypothèses'!$C$35</definedName>
    <definedName name="DSO_CIBLE">'1_Hypothèses'!$C$34</definedName>
    <definedName name="DSO_NPLUS1">'7_Bilan_Synthèse'!$F$61</definedName>
    <definedName name="EBITDA_N">'6_CPC_Normalisé'!$E$71</definedName>
    <definedName name="EBITDA_NPLUS1">'6_CPC_Normalisé'!$F$71</definedName>
    <definedName name="EQUILIBRE_BILAN_NPLUS1">'7_Bilan_Synthèse'!$F$55</definedName>
    <definedName name="GEAR_NPLUS1">'7_Bilan_Synthèse'!$F$64</definedName>
    <definedName name="INFLATION">'1_Hypothèses'!$C$29</definedName>
    <definedName name="IS_DU_NPLUS1">'6_CPC_Normalisé'!$F$64</definedName>
    <definedName name="MASSE_SALARIALE_BRUTE">'5_Personnel_CNSS'!$G$23</definedName>
    <definedName name="PLAFOND_CNSS">'1_Hypothèses'!$C$17</definedName>
    <definedName name="RAI_NPLUS1">'6_CPC_Normalisé'!$F$59</definedName>
    <definedName name="RESULTAT_NET_N">'6_CPC_Normalisé'!$E$66</definedName>
    <definedName name="RESULTAT_NET_NM1">'6_CPC_Normalisé'!$D$66</definedName>
    <definedName name="RESULTAT_NET_NPLUS1">'6_CPC_Normalisé'!$F$66</definedName>
    <definedName name="REX_NPLUS1">'6_CPC_Normalisé'!$F$25</definedName>
    <definedName name="RNET_RANGE">'6_CPC_Normalisé'!$D$66:$F$66</definedName>
    <definedName name="SEUIL_MAD">'1_Hypothèses'!$C$37</definedName>
    <definedName name="SEUIL_PCT">'1_Hypothèses'!$C$38</definedName>
    <definedName name="TAUX_CM">'1_Hypothèses'!$C$10</definedName>
    <definedName name="TAUX_IS">'1_Hypothèses'!$C$9</definedName>
    <definedName name="TAXE_FORM">'1_Hypothèses'!$C$22</definedName>
    <definedName name="TOTAL_BILAN_NPLUS1">'7_Bilan_Synthèse'!$F$26</definedName>
    <definedName name="TOTAL_PASSIF_NPLUS1">'7_Bilan_Synthèse'!$F$53</definedName>
    <definedName name="VENTES_711">'6_CPC_Normalisé'!$F$7</definedName>
    <definedName name="VENTES_712">'6_CPC_Normalisé'!$F$8</definedName>
    <definedName name="WACC">'1_Hypothèses'!$C$32</definedName>
    <definedName name="ZBB_BUDGET_NPLUS1">'4_ZBB_Charges'!$H$28</definedName>
    <definedName name="ZBB_REEL_N">'4_ZBB_Charges'!$G$28</definedName>
    <definedName name="ZBB_REEL_NM1">'4_ZBB_Charges'!$F$28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3" l="1"/>
  <c r="H19" i="11"/>
  <c r="G19" i="11"/>
  <c r="F19" i="11"/>
  <c r="E19" i="11"/>
  <c r="D19" i="11"/>
  <c r="C19" i="11"/>
  <c r="I19" i="11" s="1"/>
  <c r="H18" i="11"/>
  <c r="G18" i="11"/>
  <c r="F18" i="11"/>
  <c r="E18" i="11"/>
  <c r="D18" i="11"/>
  <c r="C18" i="11"/>
  <c r="I18" i="11" s="1"/>
  <c r="H17" i="11"/>
  <c r="G17" i="11"/>
  <c r="F17" i="11"/>
  <c r="E17" i="11"/>
  <c r="D17" i="11"/>
  <c r="C17" i="11"/>
  <c r="I17" i="11" s="1"/>
  <c r="H16" i="11"/>
  <c r="G16" i="11"/>
  <c r="F16" i="11"/>
  <c r="E16" i="11"/>
  <c r="D16" i="11"/>
  <c r="C16" i="11"/>
  <c r="I16" i="11" s="1"/>
  <c r="H15" i="11"/>
  <c r="G15" i="11"/>
  <c r="F15" i="11"/>
  <c r="E15" i="11"/>
  <c r="D15" i="11"/>
  <c r="I15" i="11" s="1"/>
  <c r="C15" i="11"/>
  <c r="H14" i="11"/>
  <c r="G14" i="11"/>
  <c r="F14" i="11"/>
  <c r="E14" i="11"/>
  <c r="D14" i="11"/>
  <c r="C14" i="11"/>
  <c r="I14" i="11" s="1"/>
  <c r="H13" i="11"/>
  <c r="G13" i="11"/>
  <c r="F13" i="11"/>
  <c r="E13" i="11"/>
  <c r="D13" i="11"/>
  <c r="C13" i="11"/>
  <c r="I13" i="11" s="1"/>
  <c r="H12" i="11"/>
  <c r="G12" i="11"/>
  <c r="F12" i="11"/>
  <c r="E12" i="11"/>
  <c r="D12" i="11"/>
  <c r="C12" i="11"/>
  <c r="I12" i="11" s="1"/>
  <c r="H11" i="11"/>
  <c r="G11" i="11"/>
  <c r="F11" i="11"/>
  <c r="E11" i="11"/>
  <c r="D11" i="11"/>
  <c r="C11" i="11"/>
  <c r="I11" i="11" s="1"/>
  <c r="H10" i="11"/>
  <c r="G10" i="11"/>
  <c r="I10" i="11" s="1"/>
  <c r="F10" i="11"/>
  <c r="E10" i="11"/>
  <c r="D10" i="11"/>
  <c r="C10" i="11"/>
  <c r="H9" i="11"/>
  <c r="G9" i="11"/>
  <c r="F9" i="11"/>
  <c r="E9" i="11"/>
  <c r="D9" i="11"/>
  <c r="C9" i="11"/>
  <c r="I9" i="11" s="1"/>
  <c r="H8" i="11"/>
  <c r="G8" i="11"/>
  <c r="F8" i="11"/>
  <c r="E8" i="11"/>
  <c r="D8" i="11"/>
  <c r="C8" i="11"/>
  <c r="I8" i="11" s="1"/>
  <c r="H7" i="11"/>
  <c r="G7" i="11"/>
  <c r="F7" i="11"/>
  <c r="E7" i="11"/>
  <c r="D7" i="11"/>
  <c r="I7" i="11" s="1"/>
  <c r="C7" i="11"/>
  <c r="H6" i="11"/>
  <c r="H20" i="11" s="1"/>
  <c r="G6" i="11"/>
  <c r="G20" i="11" s="1"/>
  <c r="F6" i="11"/>
  <c r="F20" i="11" s="1"/>
  <c r="E6" i="11"/>
  <c r="E20" i="11" s="1"/>
  <c r="D6" i="11"/>
  <c r="D20" i="11" s="1"/>
  <c r="C6" i="11"/>
  <c r="C20" i="11" s="1"/>
  <c r="F13" i="9"/>
  <c r="E12" i="9"/>
  <c r="D7" i="9"/>
  <c r="E6" i="9"/>
  <c r="D6" i="9"/>
  <c r="F63" i="8"/>
  <c r="E63" i="8"/>
  <c r="D63" i="8"/>
  <c r="F62" i="8"/>
  <c r="E62" i="8"/>
  <c r="D62" i="8"/>
  <c r="E61" i="8"/>
  <c r="D61" i="8"/>
  <c r="F60" i="8"/>
  <c r="D60" i="8"/>
  <c r="F51" i="8"/>
  <c r="E51" i="8"/>
  <c r="D51" i="8"/>
  <c r="F46" i="8"/>
  <c r="E46" i="8"/>
  <c r="D46" i="8"/>
  <c r="E26" i="8"/>
  <c r="F24" i="8"/>
  <c r="F26" i="8" s="1"/>
  <c r="E24" i="8"/>
  <c r="D24" i="8"/>
  <c r="F19" i="8"/>
  <c r="E19" i="8"/>
  <c r="E60" i="8" s="1"/>
  <c r="E13" i="9" s="1"/>
  <c r="D19" i="8"/>
  <c r="F12" i="8"/>
  <c r="E12" i="8"/>
  <c r="D12" i="8"/>
  <c r="D26" i="8" s="1"/>
  <c r="D70" i="7"/>
  <c r="E69" i="7"/>
  <c r="E70" i="7" s="1"/>
  <c r="D69" i="7"/>
  <c r="E63" i="7"/>
  <c r="D63" i="7"/>
  <c r="E57" i="7"/>
  <c r="G55" i="7"/>
  <c r="F55" i="7"/>
  <c r="E55" i="7"/>
  <c r="D55" i="7"/>
  <c r="G54" i="7"/>
  <c r="G53" i="7"/>
  <c r="G52" i="7"/>
  <c r="F49" i="7"/>
  <c r="F57" i="7" s="1"/>
  <c r="G57" i="7" s="1"/>
  <c r="E49" i="7"/>
  <c r="D49" i="7"/>
  <c r="D57" i="7" s="1"/>
  <c r="G48" i="7"/>
  <c r="G47" i="7"/>
  <c r="G46" i="7"/>
  <c r="F41" i="7"/>
  <c r="F39" i="7"/>
  <c r="E39" i="7"/>
  <c r="G39" i="7" s="1"/>
  <c r="D39" i="7"/>
  <c r="G38" i="7"/>
  <c r="G37" i="7"/>
  <c r="G36" i="7"/>
  <c r="G35" i="7"/>
  <c r="F32" i="7"/>
  <c r="E32" i="7"/>
  <c r="E41" i="7" s="1"/>
  <c r="D32" i="7"/>
  <c r="D41" i="7" s="1"/>
  <c r="G31" i="7"/>
  <c r="G30" i="7"/>
  <c r="G29" i="7"/>
  <c r="G28" i="7"/>
  <c r="G22" i="7"/>
  <c r="G21" i="7"/>
  <c r="G19" i="7"/>
  <c r="D18" i="7"/>
  <c r="D23" i="7" s="1"/>
  <c r="G17" i="7"/>
  <c r="G16" i="7"/>
  <c r="E13" i="7"/>
  <c r="D13" i="7"/>
  <c r="D25" i="7" s="1"/>
  <c r="G12" i="7"/>
  <c r="G11" i="7"/>
  <c r="G10" i="7"/>
  <c r="G9" i="7"/>
  <c r="C33" i="6"/>
  <c r="C32" i="6"/>
  <c r="C31" i="6"/>
  <c r="C30" i="6"/>
  <c r="C29" i="6"/>
  <c r="C28" i="6"/>
  <c r="F23" i="6"/>
  <c r="E23" i="6"/>
  <c r="H22" i="6"/>
  <c r="G22" i="6"/>
  <c r="I22" i="6" s="1"/>
  <c r="J21" i="6"/>
  <c r="I21" i="6"/>
  <c r="H21" i="6"/>
  <c r="G21" i="6"/>
  <c r="K20" i="6"/>
  <c r="H20" i="6"/>
  <c r="G20" i="6"/>
  <c r="J20" i="6" s="1"/>
  <c r="J19" i="6"/>
  <c r="H19" i="6"/>
  <c r="G19" i="6"/>
  <c r="K18" i="6"/>
  <c r="I18" i="6"/>
  <c r="H18" i="6"/>
  <c r="L18" i="6" s="1"/>
  <c r="M18" i="6" s="1"/>
  <c r="G18" i="6"/>
  <c r="J18" i="6" s="1"/>
  <c r="J17" i="6"/>
  <c r="H17" i="6"/>
  <c r="G17" i="6"/>
  <c r="K17" i="6" s="1"/>
  <c r="H16" i="6"/>
  <c r="G16" i="6"/>
  <c r="K16" i="6" s="1"/>
  <c r="K15" i="6"/>
  <c r="J15" i="6"/>
  <c r="H15" i="6"/>
  <c r="G15" i="6"/>
  <c r="I15" i="6" s="1"/>
  <c r="H14" i="6"/>
  <c r="G14" i="6"/>
  <c r="I14" i="6" s="1"/>
  <c r="J13" i="6"/>
  <c r="I13" i="6"/>
  <c r="H13" i="6"/>
  <c r="G13" i="6"/>
  <c r="K12" i="6"/>
  <c r="H12" i="6"/>
  <c r="G12" i="6"/>
  <c r="J12" i="6" s="1"/>
  <c r="J11" i="6"/>
  <c r="H11" i="6"/>
  <c r="G11" i="6"/>
  <c r="K10" i="6"/>
  <c r="I10" i="6"/>
  <c r="H10" i="6"/>
  <c r="G10" i="6"/>
  <c r="J10" i="6" s="1"/>
  <c r="J9" i="6"/>
  <c r="H9" i="6"/>
  <c r="G9" i="6"/>
  <c r="K9" i="6" s="1"/>
  <c r="H8" i="6"/>
  <c r="G8" i="6"/>
  <c r="K8" i="6" s="1"/>
  <c r="K7" i="6"/>
  <c r="J7" i="6"/>
  <c r="H7" i="6"/>
  <c r="H23" i="6" s="1"/>
  <c r="G7" i="6"/>
  <c r="G23" i="6" s="1"/>
  <c r="J28" i="5"/>
  <c r="H28" i="5"/>
  <c r="F18" i="7" s="1"/>
  <c r="G28" i="5"/>
  <c r="E18" i="7" s="1"/>
  <c r="F28" i="5"/>
  <c r="D12" i="9" s="1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Q52" i="4"/>
  <c r="P52" i="4"/>
  <c r="O52" i="4"/>
  <c r="N52" i="4"/>
  <c r="M52" i="4"/>
  <c r="L52" i="4"/>
  <c r="K52" i="4"/>
  <c r="J52" i="4"/>
  <c r="I52" i="4"/>
  <c r="H52" i="4"/>
  <c r="G52" i="4"/>
  <c r="F52" i="4"/>
  <c r="Q51" i="4"/>
  <c r="P51" i="4"/>
  <c r="O51" i="4"/>
  <c r="N51" i="4"/>
  <c r="M51" i="4"/>
  <c r="L51" i="4"/>
  <c r="K51" i="4"/>
  <c r="I51" i="4"/>
  <c r="H51" i="4"/>
  <c r="G51" i="4"/>
  <c r="F51" i="4"/>
  <c r="Q50" i="4"/>
  <c r="P50" i="4"/>
  <c r="O50" i="4"/>
  <c r="N50" i="4"/>
  <c r="M50" i="4"/>
  <c r="L50" i="4"/>
  <c r="K50" i="4"/>
  <c r="I50" i="4"/>
  <c r="H50" i="4"/>
  <c r="G50" i="4"/>
  <c r="F50" i="4"/>
  <c r="Q49" i="4"/>
  <c r="P49" i="4"/>
  <c r="O49" i="4"/>
  <c r="N49" i="4"/>
  <c r="M49" i="4"/>
  <c r="L49" i="4"/>
  <c r="K49" i="4"/>
  <c r="J49" i="4"/>
  <c r="I49" i="4"/>
  <c r="H49" i="4"/>
  <c r="G49" i="4"/>
  <c r="F49" i="4"/>
  <c r="Q48" i="4"/>
  <c r="P48" i="4"/>
  <c r="O48" i="4"/>
  <c r="N48" i="4"/>
  <c r="M48" i="4"/>
  <c r="L48" i="4"/>
  <c r="K48" i="4"/>
  <c r="J48" i="4"/>
  <c r="I48" i="4"/>
  <c r="H48" i="4"/>
  <c r="G48" i="4"/>
  <c r="F48" i="4"/>
  <c r="Q47" i="4"/>
  <c r="P47" i="4"/>
  <c r="O47" i="4"/>
  <c r="N47" i="4"/>
  <c r="M47" i="4"/>
  <c r="L47" i="4"/>
  <c r="K47" i="4"/>
  <c r="J47" i="4"/>
  <c r="I47" i="4"/>
  <c r="H47" i="4"/>
  <c r="G47" i="4"/>
  <c r="F47" i="4"/>
  <c r="Q46" i="4"/>
  <c r="P46" i="4"/>
  <c r="O46" i="4"/>
  <c r="N46" i="4"/>
  <c r="M46" i="4"/>
  <c r="L46" i="4"/>
  <c r="K46" i="4"/>
  <c r="J46" i="4"/>
  <c r="I46" i="4"/>
  <c r="H46" i="4"/>
  <c r="G46" i="4"/>
  <c r="F46" i="4"/>
  <c r="Q45" i="4"/>
  <c r="P45" i="4"/>
  <c r="O45" i="4"/>
  <c r="N45" i="4"/>
  <c r="N53" i="4" s="1"/>
  <c r="M45" i="4"/>
  <c r="L45" i="4"/>
  <c r="K45" i="4"/>
  <c r="J45" i="4"/>
  <c r="I45" i="4"/>
  <c r="H45" i="4"/>
  <c r="G45" i="4"/>
  <c r="F45" i="4"/>
  <c r="Q44" i="4"/>
  <c r="P44" i="4"/>
  <c r="O44" i="4"/>
  <c r="N44" i="4"/>
  <c r="M44" i="4"/>
  <c r="L44" i="4"/>
  <c r="K44" i="4"/>
  <c r="J44" i="4"/>
  <c r="I44" i="4"/>
  <c r="H44" i="4"/>
  <c r="G44" i="4"/>
  <c r="F44" i="4"/>
  <c r="Q43" i="4"/>
  <c r="P43" i="4"/>
  <c r="P53" i="4" s="1"/>
  <c r="O43" i="4"/>
  <c r="N43" i="4"/>
  <c r="M43" i="4"/>
  <c r="L43" i="4"/>
  <c r="K43" i="4"/>
  <c r="J43" i="4"/>
  <c r="I43" i="4"/>
  <c r="H43" i="4"/>
  <c r="G43" i="4"/>
  <c r="F43" i="4"/>
  <c r="Q42" i="4"/>
  <c r="P42" i="4"/>
  <c r="O42" i="4"/>
  <c r="N42" i="4"/>
  <c r="M42" i="4"/>
  <c r="L42" i="4"/>
  <c r="K42" i="4"/>
  <c r="J42" i="4"/>
  <c r="I42" i="4"/>
  <c r="H42" i="4"/>
  <c r="G42" i="4"/>
  <c r="F42" i="4"/>
  <c r="Q41" i="4"/>
  <c r="Q53" i="4" s="1"/>
  <c r="P41" i="4"/>
  <c r="O41" i="4"/>
  <c r="O53" i="4" s="1"/>
  <c r="N41" i="4"/>
  <c r="M41" i="4"/>
  <c r="M53" i="4" s="1"/>
  <c r="L41" i="4"/>
  <c r="L53" i="4" s="1"/>
  <c r="K41" i="4"/>
  <c r="J41" i="4"/>
  <c r="I41" i="4"/>
  <c r="I53" i="4" s="1"/>
  <c r="H41" i="4"/>
  <c r="G41" i="4"/>
  <c r="G53" i="4" s="1"/>
  <c r="F41" i="4"/>
  <c r="R36" i="4"/>
  <c r="R35" i="4"/>
  <c r="R34" i="4"/>
  <c r="R33" i="4"/>
  <c r="R32" i="4"/>
  <c r="R31" i="4"/>
  <c r="R30" i="4"/>
  <c r="R29" i="4"/>
  <c r="R28" i="4"/>
  <c r="R27" i="4"/>
  <c r="R26" i="4"/>
  <c r="R25" i="4"/>
  <c r="Q20" i="4"/>
  <c r="P20" i="4"/>
  <c r="O20" i="4"/>
  <c r="N20" i="4"/>
  <c r="M20" i="4"/>
  <c r="L20" i="4"/>
  <c r="K20" i="4"/>
  <c r="J20" i="4"/>
  <c r="I20" i="4"/>
  <c r="H20" i="4"/>
  <c r="G20" i="4"/>
  <c r="F20" i="4"/>
  <c r="R19" i="4"/>
  <c r="R18" i="4"/>
  <c r="R17" i="4"/>
  <c r="R16" i="4"/>
  <c r="R15" i="4"/>
  <c r="R14" i="4"/>
  <c r="R13" i="4"/>
  <c r="R12" i="4"/>
  <c r="R11" i="4"/>
  <c r="R10" i="4"/>
  <c r="R9" i="4"/>
  <c r="R8" i="4"/>
  <c r="D29" i="3"/>
  <c r="D17" i="3"/>
  <c r="J53" i="4" l="1"/>
  <c r="R50" i="4"/>
  <c r="R52" i="4"/>
  <c r="R44" i="4"/>
  <c r="R46" i="4"/>
  <c r="R48" i="4"/>
  <c r="R51" i="4"/>
  <c r="R47" i="4"/>
  <c r="R49" i="4"/>
  <c r="R42" i="4"/>
  <c r="R43" i="4"/>
  <c r="K53" i="4"/>
  <c r="R45" i="4"/>
  <c r="R20" i="4"/>
  <c r="E23" i="7"/>
  <c r="E25" i="7" s="1"/>
  <c r="E7" i="9"/>
  <c r="D28" i="3"/>
  <c r="G18" i="7"/>
  <c r="D71" i="7"/>
  <c r="D72" i="7" s="1"/>
  <c r="D43" i="7"/>
  <c r="D59" i="7" s="1"/>
  <c r="I20" i="11"/>
  <c r="F16" i="9"/>
  <c r="D31" i="3"/>
  <c r="D59" i="4"/>
  <c r="F8" i="7"/>
  <c r="G8" i="7" s="1"/>
  <c r="C21" i="3"/>
  <c r="G13" i="9"/>
  <c r="L9" i="6"/>
  <c r="M9" i="6" s="1"/>
  <c r="J23" i="6"/>
  <c r="L10" i="6"/>
  <c r="M10" i="6" s="1"/>
  <c r="L15" i="6"/>
  <c r="F53" i="4"/>
  <c r="H53" i="4"/>
  <c r="I8" i="6"/>
  <c r="I16" i="6"/>
  <c r="G32" i="7"/>
  <c r="H13" i="9"/>
  <c r="I13" i="9" s="1"/>
  <c r="D11" i="3"/>
  <c r="J22" i="6"/>
  <c r="L22" i="6" s="1"/>
  <c r="M22" i="6" s="1"/>
  <c r="D7" i="12"/>
  <c r="F7" i="12" s="1"/>
  <c r="R41" i="4"/>
  <c r="J14" i="6"/>
  <c r="L14" i="6" s="1"/>
  <c r="M14" i="6" s="1"/>
  <c r="L7" i="6"/>
  <c r="I12" i="6"/>
  <c r="L12" i="6" s="1"/>
  <c r="M12" i="6" s="1"/>
  <c r="D33" i="6" s="1"/>
  <c r="K14" i="6"/>
  <c r="I20" i="6"/>
  <c r="L20" i="6" s="1"/>
  <c r="M20" i="6" s="1"/>
  <c r="K22" i="6"/>
  <c r="G41" i="7"/>
  <c r="I6" i="11"/>
  <c r="I28" i="5"/>
  <c r="M7" i="6"/>
  <c r="I11" i="6"/>
  <c r="K13" i="6"/>
  <c r="L13" i="6" s="1"/>
  <c r="M13" i="6" s="1"/>
  <c r="M15" i="6"/>
  <c r="I19" i="6"/>
  <c r="K21" i="6"/>
  <c r="L21" i="6" s="1"/>
  <c r="M21" i="6" s="1"/>
  <c r="I9" i="6"/>
  <c r="K11" i="6"/>
  <c r="K23" i="6" s="1"/>
  <c r="I17" i="6"/>
  <c r="L17" i="6" s="1"/>
  <c r="M17" i="6" s="1"/>
  <c r="K19" i="6"/>
  <c r="G49" i="7"/>
  <c r="D13" i="12"/>
  <c r="F13" i="12" s="1"/>
  <c r="I7" i="6"/>
  <c r="J8" i="6"/>
  <c r="J16" i="6"/>
  <c r="F12" i="9"/>
  <c r="G12" i="9" l="1"/>
  <c r="H12" i="9"/>
  <c r="I12" i="9" s="1"/>
  <c r="L8" i="6"/>
  <c r="M8" i="6" s="1"/>
  <c r="D29" i="6" s="1"/>
  <c r="D28" i="6"/>
  <c r="G21" i="3"/>
  <c r="L16" i="6"/>
  <c r="M16" i="6" s="1"/>
  <c r="I23" i="6"/>
  <c r="L19" i="6"/>
  <c r="M19" i="6" s="1"/>
  <c r="F7" i="7"/>
  <c r="R53" i="4"/>
  <c r="D58" i="4"/>
  <c r="H16" i="9"/>
  <c r="I16" i="9" s="1"/>
  <c r="G16" i="9"/>
  <c r="D30" i="6"/>
  <c r="L11" i="6"/>
  <c r="M11" i="6" s="1"/>
  <c r="D32" i="6" s="1"/>
  <c r="D62" i="7"/>
  <c r="D64" i="7" s="1"/>
  <c r="D66" i="7" s="1"/>
  <c r="D31" i="6"/>
  <c r="E71" i="7"/>
  <c r="E43" i="7"/>
  <c r="E59" i="7" s="1"/>
  <c r="D10" i="9" l="1"/>
  <c r="D73" i="7"/>
  <c r="D34" i="8"/>
  <c r="D60" i="4"/>
  <c r="E58" i="4"/>
  <c r="M23" i="6"/>
  <c r="E31" i="6"/>
  <c r="E28" i="6"/>
  <c r="L23" i="6"/>
  <c r="E8" i="9"/>
  <c r="E72" i="7"/>
  <c r="F6" i="9"/>
  <c r="D10" i="12"/>
  <c r="F10" i="12" s="1"/>
  <c r="D6" i="12"/>
  <c r="F6" i="12" s="1"/>
  <c r="F69" i="7"/>
  <c r="D27" i="3"/>
  <c r="C20" i="3"/>
  <c r="F20" i="3" s="1"/>
  <c r="B7" i="3"/>
  <c r="F63" i="7"/>
  <c r="G63" i="7" s="1"/>
  <c r="F13" i="7"/>
  <c r="F61" i="8"/>
  <c r="G7" i="7"/>
  <c r="F7" i="9"/>
  <c r="E30" i="6"/>
  <c r="E59" i="4"/>
  <c r="E62" i="7"/>
  <c r="E64" i="7" s="1"/>
  <c r="E66" i="7" s="1"/>
  <c r="D26" i="3" l="1"/>
  <c r="E26" i="3" s="1"/>
  <c r="E27" i="3" s="1"/>
  <c r="E28" i="3" s="1"/>
  <c r="E29" i="3" s="1"/>
  <c r="E10" i="9"/>
  <c r="E73" i="7"/>
  <c r="E34" i="8"/>
  <c r="F14" i="9"/>
  <c r="C17" i="3"/>
  <c r="G13" i="7"/>
  <c r="H6" i="9"/>
  <c r="I6" i="9" s="1"/>
  <c r="G6" i="9"/>
  <c r="D8" i="12"/>
  <c r="F8" i="12" s="1"/>
  <c r="F20" i="7"/>
  <c r="F11" i="9"/>
  <c r="D30" i="3"/>
  <c r="E33" i="6"/>
  <c r="G20" i="3"/>
  <c r="D64" i="8"/>
  <c r="D38" i="8"/>
  <c r="D53" i="8" s="1"/>
  <c r="D55" i="8" s="1"/>
  <c r="D65" i="8"/>
  <c r="E32" i="6"/>
  <c r="H7" i="9"/>
  <c r="I7" i="9" s="1"/>
  <c r="G7" i="9"/>
  <c r="G69" i="7"/>
  <c r="F70" i="7"/>
  <c r="E29" i="6"/>
  <c r="G17" i="3" l="1"/>
  <c r="F17" i="3"/>
  <c r="H11" i="9"/>
  <c r="I11" i="9" s="1"/>
  <c r="G11" i="9"/>
  <c r="E65" i="8"/>
  <c r="E38" i="8"/>
  <c r="E53" i="8" s="1"/>
  <c r="E55" i="8" s="1"/>
  <c r="E64" i="8"/>
  <c r="H14" i="9"/>
  <c r="I14" i="9" s="1"/>
  <c r="G14" i="9"/>
  <c r="G20" i="7"/>
  <c r="F23" i="7"/>
  <c r="E30" i="3"/>
  <c r="E31" i="3" s="1"/>
  <c r="G23" i="7" l="1"/>
  <c r="F25" i="7"/>
  <c r="F9" i="9" l="1"/>
  <c r="F43" i="7"/>
  <c r="F71" i="7"/>
  <c r="G25" i="7"/>
  <c r="F7" i="3" l="1"/>
  <c r="D7" i="3"/>
  <c r="G71" i="7"/>
  <c r="F8" i="9"/>
  <c r="F72" i="7"/>
  <c r="C19" i="3"/>
  <c r="F19" i="3" s="1"/>
  <c r="D11" i="12"/>
  <c r="F11" i="12" s="1"/>
  <c r="F59" i="7"/>
  <c r="G43" i="7"/>
  <c r="G9" i="9"/>
  <c r="H9" i="9"/>
  <c r="I9" i="9" s="1"/>
  <c r="G19" i="3" l="1"/>
  <c r="F62" i="7"/>
  <c r="G59" i="7"/>
  <c r="H8" i="9"/>
  <c r="I8" i="9" s="1"/>
  <c r="G8" i="9"/>
  <c r="G62" i="7" l="1"/>
  <c r="F64" i="7"/>
  <c r="G64" i="7" l="1"/>
  <c r="D32" i="3"/>
  <c r="E32" i="3" s="1"/>
  <c r="D9" i="12"/>
  <c r="F9" i="12" s="1"/>
  <c r="F66" i="7"/>
  <c r="B11" i="3" l="1"/>
  <c r="F10" i="9"/>
  <c r="F73" i="7"/>
  <c r="F34" i="8"/>
  <c r="G66" i="7"/>
  <c r="D12" i="12"/>
  <c r="F12" i="12" s="1"/>
  <c r="D33" i="3"/>
  <c r="E33" i="3" s="1"/>
  <c r="F38" i="8" l="1"/>
  <c r="F53" i="8" s="1"/>
  <c r="F55" i="8" s="1"/>
  <c r="D5" i="12" s="1"/>
  <c r="F5" i="12" s="1"/>
  <c r="F64" i="8"/>
  <c r="F65" i="8"/>
  <c r="H10" i="9"/>
  <c r="I10" i="9" s="1"/>
  <c r="G10" i="9"/>
  <c r="C18" i="3" l="1"/>
  <c r="F18" i="3" s="1"/>
  <c r="D14" i="12"/>
  <c r="F14" i="12" s="1"/>
  <c r="F15" i="9"/>
  <c r="F11" i="3"/>
  <c r="G15" i="9" l="1"/>
  <c r="H15" i="9"/>
  <c r="I15" i="9" s="1"/>
  <c r="G18" i="3"/>
</calcChain>
</file>

<file path=xl/sharedStrings.xml><?xml version="1.0" encoding="utf-8"?>
<sst xmlns="http://schemas.openxmlformats.org/spreadsheetml/2006/main" count="1406" uniqueCount="777">
  <si>
    <t>OUTIL DE PILOTAGE BUDGÉTAIRE — GROUPE INDUSTRIE MAROC — EXERCICE N+1</t>
  </si>
  <si>
    <t>Référentiel : CGNC — Code Général de Normalisation Comptable</t>
  </si>
  <si>
    <t>Périmètre : 2 entités juridiques × 4 sites × 6 centres de coût</t>
  </si>
  <si>
    <t>Méthodologie : Driver-based (CA tonnage × prix) + Zero-Based Budgeting (charges externes)</t>
  </si>
  <si>
    <t>STRUCTURE DU CLASSEUR</t>
  </si>
  <si>
    <t>Onglet</t>
  </si>
  <si>
    <t>Description</t>
  </si>
  <si>
    <t>Type</t>
  </si>
  <si>
    <t>0_Sommaire</t>
  </si>
  <si>
    <t>Navigation et présentation du modèle</t>
  </si>
  <si>
    <t>Présent</t>
  </si>
  <si>
    <t>1_Hypothèses</t>
  </si>
  <si>
    <t>Paramètres groupe : taux IS, CNSS, AMO, inflation, taux d'actualisation</t>
  </si>
  <si>
    <t>Saisie</t>
  </si>
  <si>
    <t>2_Dashboard</t>
  </si>
  <si>
    <t>Vue COMEX : KPI EBITDA, marge, RAG, waterfall RN N → RN N+1</t>
  </si>
  <si>
    <t>Auto</t>
  </si>
  <si>
    <t>3_Drivers_CA</t>
  </si>
  <si>
    <t>Modèle volumes×prix par ligne de production / site (comptes 711/712)</t>
  </si>
  <si>
    <t>Saisie+Calc</t>
  </si>
  <si>
    <t>4_ZBB_Charges</t>
  </si>
  <si>
    <t>Justification ligne à ligne — comptes 613/614 (services extérieurs)</t>
  </si>
  <si>
    <t>5_Personnel_CNSS</t>
  </si>
  <si>
    <t>Masse salariale, CNSS plafonnée, AMO, taxe formation, CIMR (compte 617)</t>
  </si>
  <si>
    <t>6_CPC_Normalisé</t>
  </si>
  <si>
    <t>Compte de Produits et Charges modèle CGNC (Exploitation/Financier/NC)</t>
  </si>
  <si>
    <t>7_Bilan_Synthèse</t>
  </si>
  <si>
    <t>Bilan de synthèse — actif/passif + ratios BFR et endettement</t>
  </si>
  <si>
    <t>8_Reporting_3A</t>
  </si>
  <si>
    <t>Comparatif Réel N-1 vs Réel N estimé vs Budget N+1 — analyse d'écarts</t>
  </si>
  <si>
    <t>9_Mapping_CGNC</t>
  </si>
  <si>
    <t>Audit trail — correspondance comptes CGNC ↔ agrégats de gestion</t>
  </si>
  <si>
    <t>Référentiel</t>
  </si>
  <si>
    <t>10_Heatmap_Ecarts</t>
  </si>
  <si>
    <t>Carte thermique des écarts par centre de coût × ligne budgétaire</t>
  </si>
  <si>
    <t>11_Contrôles</t>
  </si>
  <si>
    <t>Contrôles de cohérence Bilan/CPC + checklist CA</t>
  </si>
  <si>
    <t>12_PowerQuery_Doc</t>
  </si>
  <si>
    <t>Documentation des connecteurs Sage 100 / SAP Business One</t>
  </si>
  <si>
    <t>Doc</t>
  </si>
  <si>
    <t>CONVENTION DE COULEUR</t>
  </si>
  <si>
    <t>Bleu</t>
  </si>
  <si>
    <t>Saisie / hypothèse modifiable par l'utilisateur</t>
  </si>
  <si>
    <t>—</t>
  </si>
  <si>
    <t>Noir</t>
  </si>
  <si>
    <t>Formule de calcul interne à la feuille</t>
  </si>
  <si>
    <t>Vert</t>
  </si>
  <si>
    <t>Lien inter-feuille (consolidation)</t>
  </si>
  <si>
    <t>Violet/Or</t>
  </si>
  <si>
    <t>En-têtes et synthèses de présentation</t>
  </si>
  <si>
    <t>Document Confidentiel — Direction Financière — © 2026</t>
  </si>
  <si>
    <t>HYPOTHÈSES GROUPE — EXERCICE N+1</t>
  </si>
  <si>
    <t>1. FISCALITÉ MAROCAINE (Loi de Finances 2026)</t>
  </si>
  <si>
    <t>Paramètre</t>
  </si>
  <si>
    <t>Valeur</t>
  </si>
  <si>
    <t>Unité</t>
  </si>
  <si>
    <t>Référence / Commentaire</t>
  </si>
  <si>
    <t>Taux IS — tranche 0 à 300 kMAD</t>
  </si>
  <si>
    <t>%</t>
  </si>
  <si>
    <t>Article 19 CGI — taux progressif convergent vers cible unifiée</t>
  </si>
  <si>
    <t>Taux IS — tranche 300 kMAD à 1 MMAD</t>
  </si>
  <si>
    <t>Article 19 CGI</t>
  </si>
  <si>
    <t>Taux IS — tranche 1 MMAD à 100 MMAD</t>
  </si>
  <si>
    <t>Article 19 CGI — convergence loi 2023-2026</t>
  </si>
  <si>
    <t>Taux IS — tranche &gt; 100 MMAD</t>
  </si>
  <si>
    <t>Article 19 CGI — taux marginal grands groupes</t>
  </si>
  <si>
    <t>Taux IS retenu pour le modèle</t>
  </si>
  <si>
    <t>À ajuster selon la tranche de résultat fiscal effectif</t>
  </si>
  <si>
    <t>Cotisation Minimale — taux</t>
  </si>
  <si>
    <t>Article 144 CGI — 0,25% du CA HT + produits accessoires</t>
  </si>
  <si>
    <t>Cotisation Minimale — plancher</t>
  </si>
  <si>
    <t>MAD</t>
  </si>
  <si>
    <t>Article 144 CGI — minimum de 3 000 MAD</t>
  </si>
  <si>
    <t>Taux TVA standard</t>
  </si>
  <si>
    <t>Article 98 CGI</t>
  </si>
  <si>
    <t>Taux TVA réduit (industrie)</t>
  </si>
  <si>
    <t>Selon nature des intrants — à vérifier ligne par ligne</t>
  </si>
  <si>
    <t>2. CHARGES SOCIALES (CNSS / AMO / Formation / CIMR)</t>
  </si>
  <si>
    <t>Plafond CNSS mensuel</t>
  </si>
  <si>
    <t>Décret nº 2-22-687 — plafond en vigueur</t>
  </si>
  <si>
    <t>Cotisation CNSS — part patronale</t>
  </si>
  <si>
    <t>Prestations à court et long terme</t>
  </si>
  <si>
    <t>Cotisation CNSS — part salariale</t>
  </si>
  <si>
    <t>AMO — part patronale</t>
  </si>
  <si>
    <t>Sans plafond — sur salaire brut</t>
  </si>
  <si>
    <t>AMO — part salariale</t>
  </si>
  <si>
    <t>Taxe de formation professionnelle</t>
  </si>
  <si>
    <t>1,6% du salaire brut — OFPPT</t>
  </si>
  <si>
    <t>CIMR — part patronale (optionnel)</t>
  </si>
  <si>
    <t>Selon politique de retraite complémentaire</t>
  </si>
  <si>
    <t>CIMR — part salariale (optionnel)</t>
  </si>
  <si>
    <t>Activer CIMR (1=oui / 0=non)</t>
  </si>
  <si>
    <t>Levier de modélisation</t>
  </si>
  <si>
    <t>3. PARAMÈTRES MACROÉCONOMIQUES &amp; FINANCIERS</t>
  </si>
  <si>
    <t>Inflation prévisionnelle N+1</t>
  </si>
  <si>
    <t>Bank Al-Maghrib — projection médiane</t>
  </si>
  <si>
    <t>Taux de change EUR/MAD (clôture)</t>
  </si>
  <si>
    <t>BAM cours de référence</t>
  </si>
  <si>
    <t>Taux de change USD/MAD (clôture)</t>
  </si>
  <si>
    <t>Coût moyen pondéré du capital (WACC)</t>
  </si>
  <si>
    <t>Hypothèse interne DAF</t>
  </si>
  <si>
    <t>Coût de la dette bancaire moyenne</t>
  </si>
  <si>
    <t>TMP + spread négocié</t>
  </si>
  <si>
    <t>DSO cible — délai de recouvrement</t>
  </si>
  <si>
    <t>jours</t>
  </si>
  <si>
    <t>Loi 69-21 sur les délais de paiement</t>
  </si>
  <si>
    <t>DPO cible — délai fournisseurs</t>
  </si>
  <si>
    <t>Politique groupe</t>
  </si>
  <si>
    <t>DIO cible — rotation des stocks</t>
  </si>
  <si>
    <t>KPI industrie transformation</t>
  </si>
  <si>
    <t>Seuil d'écart matériel — montant</t>
  </si>
  <si>
    <t>Déclenche commentaire de gestion obligatoire</t>
  </si>
  <si>
    <t>Seuil d'écart matériel — pourcentage</t>
  </si>
  <si>
    <t>DASHBOARD COMEX — BUDGET N+1 — VUE BOARD</t>
  </si>
  <si>
    <t>Synthèse exécutive : KPI financiers, statuts RAG, waterfall RN N→N+1</t>
  </si>
  <si>
    <t>INDICATEURS CLÉS — N+1</t>
  </si>
  <si>
    <t>CA Groupe N+1</t>
  </si>
  <si>
    <t>EBITDA</t>
  </si>
  <si>
    <t>Marge EBITDA</t>
  </si>
  <si>
    <t>Comptes 711+712</t>
  </si>
  <si>
    <t>REX + Dotations</t>
  </si>
  <si>
    <t>EBITDA / CA</t>
  </si>
  <si>
    <t>Résultat Net</t>
  </si>
  <si>
    <t>BFR</t>
  </si>
  <si>
    <t>Gearing</t>
  </si>
  <si>
    <t>Bottom line</t>
  </si>
  <si>
    <t>AC - PC (hors trésorerie)</t>
  </si>
  <si>
    <t>Dettes fin / CP</t>
  </si>
  <si>
    <t>STATUTS RAG — RATIOS DE STRUCTURE</t>
  </si>
  <si>
    <t>Indicateur</t>
  </si>
  <si>
    <t>Cible</t>
  </si>
  <si>
    <t>Tolérance ±</t>
  </si>
  <si>
    <t>Statut</t>
  </si>
  <si>
    <t>Action recommandée</t>
  </si>
  <si>
    <t>DSO (recouvrement)</t>
  </si>
  <si>
    <t>Croissance CA</t>
  </si>
  <si>
    <t>Variation BFR</t>
  </si>
  <si>
    <t>WATERFALL — PASSAGE DU RÉSULTAT NET N → RÉSULTAT NET N+1 (en MAD)</t>
  </si>
  <si>
    <t>Étape</t>
  </si>
  <si>
    <t>Cumul</t>
  </si>
  <si>
    <t>Variation %</t>
  </si>
  <si>
    <t>Commentaire</t>
  </si>
  <si>
    <t>RN N (départ)</t>
  </si>
  <si>
    <t>Départ</t>
  </si>
  <si>
    <t>Point de départ — Réel N estimé</t>
  </si>
  <si>
    <t>Effet CA (volume×prix)</t>
  </si>
  <si>
    <t>Δ+</t>
  </si>
  <si>
    <t>Drivers tonnage × prix unitaire</t>
  </si>
  <si>
    <t>Effet achats consommés</t>
  </si>
  <si>
    <t>Δ-</t>
  </si>
  <si>
    <t>Comptes 611/612 — pression matières</t>
  </si>
  <si>
    <t>Effet charges externes (ZBB)</t>
  </si>
  <si>
    <t>Comptes 613/614 — discipline ZBB</t>
  </si>
  <si>
    <t>Effet masse salariale</t>
  </si>
  <si>
    <t>Compte 617 — recrutements N+1</t>
  </si>
  <si>
    <t>Effet financier net</t>
  </si>
  <si>
    <t>Δ±</t>
  </si>
  <si>
    <t>Comptes 631/733 — coût dette</t>
  </si>
  <si>
    <t>Effet impôt (IS)</t>
  </si>
  <si>
    <t>Article 19 + 144 CGI</t>
  </si>
  <si>
    <t>RN N+1 (arrivée)</t>
  </si>
  <si>
    <t>Arrivée</t>
  </si>
  <si>
    <t>Point d'arrivée — Budget N+1</t>
  </si>
  <si>
    <t>DRIVERS CA — INDUSTRIE — VOLUMES (TONNES) × PRIX UNITAIRE — N+1</t>
  </si>
  <si>
    <t>Méthode : Driver-based — CA = Σ (tonnes × prix unitaire) par ligne de production / site / mois</t>
  </si>
  <si>
    <t>Ventilation comptes CGNC : 7111 (ventes locales) / 7112 (ventes export) — à raffiner selon plan comptable groupe</t>
  </si>
  <si>
    <t>BLOC 1 — VOLUMES PRÉVISIONNELS (TONNES)</t>
  </si>
  <si>
    <t>Entité</t>
  </si>
  <si>
    <t>Site</t>
  </si>
  <si>
    <t>Ligne produit</t>
  </si>
  <si>
    <t>Compte CGNC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</si>
  <si>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</si>
  <si>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</si>
  <si>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</si>
  <si>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</si>
  <si>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</si>
  <si>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</si>
  <si>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</si>
  <si>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</si>
  <si>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</si>
  <si>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</si>
  <si>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</si>
  <si>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</si>
  <si>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 tonnes</t>
  </si>
  <si>
    <t>IND_CASA</t>
  </si>
  <si>
    <t>Casa-Aïn Sebaâ</t>
  </si>
  <si>
    <t>Ligne A — Acier transformé</t>
  </si>
  <si>
    <t>7111</t>
  </si>
  <si>
    <t>Ligne B — Profilés</t>
  </si>
  <si>
    <t>Ligne C — Tubes soudés</t>
  </si>
  <si>
    <t>Casa-Bouskoura</t>
  </si>
  <si>
    <t>IND_TANGER</t>
  </si>
  <si>
    <t>Tanger-Free Zone</t>
  </si>
  <si>
    <t>7112</t>
  </si>
  <si>
    <t>Tanger-Mghogha</t>
  </si>
  <si>
    <t>TOTAL GROUPE</t>
  </si>
  <si>
    <t>BLOC 2 — PRIX UNITAIRES MOYENS (MAD / TONNE)</t>
  </si>
  <si>
    <t>Prix moyen pondéré</t>
  </si>
  <si>
    <t>BLOC 3 — CHIFFRE D'AFFAIRES (MAD) = VOLUMES × PRIX</t>
  </si>
  <si>
    <t>Total CA N+1</t>
  </si>
  <si>
    <t>TOTAL CA GROUPE N+1</t>
  </si>
  <si>
    <t>BLOC 4 — SYNTHÈSE CA PAR COMPTE CGNC</t>
  </si>
  <si>
    <t>Compte</t>
  </si>
  <si>
    <t>Libellé</t>
  </si>
  <si>
    <t>CA N+1 (MAD)</t>
  </si>
  <si>
    <t>% du total</t>
  </si>
  <si>
    <t>Variation N → N+1</t>
  </si>
  <si>
    <t>Ventes de marchandises au Maroc</t>
  </si>
  <si>
    <t>Ventes à l'export / zone franche</t>
  </si>
  <si>
    <t>TOTAL</t>
  </si>
  <si>
    <t>100%</t>
  </si>
  <si>
    <t>ZERO-BASED BUDGETING — CHARGES EXTERNES (CGNC 613/614)</t>
  </si>
  <si>
    <t>Méthode ZBB : chaque ligne doit être justifiée à partir de zéro — pas de reconduction automatique du réalisé N</t>
  </si>
  <si>
    <t>Comptes couverts : 6131 Loc. crédit-bail / 6132 Locations / 6133 Entretien et réparations / 6134 Primes assurance / 6135 Rémunérations intermédiaires / 6136 Honoraires / 6137 Études / 6141 Études et recherches / 6142 Transports / 6143 Déplacements &amp; missions / 6144 Publicité / 6145 Frais postaux / 6146 Cotisations &amp; dons / 6147 Services bancaires / 6148 Autres</t>
  </si>
  <si>
    <t>Libellé poste</t>
  </si>
  <si>
    <t>Centre de coût</t>
  </si>
  <si>
    <t>Réel N-1</t>
  </si>
  <si>
    <t>Réel N estimé</t>
  </si>
  <si>
    <t>Budget N+1 (ZBB)</t>
  </si>
  <si>
    <t>Var N+1 vs N</t>
  </si>
  <si>
    <t>% Var</t>
  </si>
  <si>
    <t>Justification ZBB obligatoire</t>
  </si>
  <si>
    <t>Validé par</t>
  </si>
  <si>
    <t>Date validation</t>
  </si>
  <si>
    <t>6131</t>
  </si>
  <si>
    <t>Crédit-bail machines de production</t>
  </si>
  <si>
    <t>Production</t>
  </si>
  <si>
    <t>À renseigner — base zéro : driver, qty, prix unitaire, contrat de référence</t>
  </si>
  <si>
    <t>6132</t>
  </si>
  <si>
    <t>Location entrepôts logistique</t>
  </si>
  <si>
    <t>Logistique</t>
  </si>
  <si>
    <t>Location locaux administratifs</t>
  </si>
  <si>
    <t>Admin/Finance</t>
  </si>
  <si>
    <t>Location locaux Tanger</t>
  </si>
  <si>
    <t>6133</t>
  </si>
  <si>
    <t>Entretien outillage industriel</t>
  </si>
  <si>
    <t>Maintenance</t>
  </si>
  <si>
    <t>Entretien équipements Tanger</t>
  </si>
  <si>
    <t>6134</t>
  </si>
  <si>
    <t>Assurances multirisque industrielle</t>
  </si>
  <si>
    <t>Assurances flotte automobile</t>
  </si>
  <si>
    <t>6135</t>
  </si>
  <si>
    <t>Commissions agents commerciaux</t>
  </si>
  <si>
    <t>Commercial</t>
  </si>
  <si>
    <t>6136</t>
  </si>
  <si>
    <t>Honoraires expert-comptable</t>
  </si>
  <si>
    <t>Honoraires commissaire aux comptes</t>
  </si>
  <si>
    <t>Honoraires juridiques &amp; fiscaux</t>
  </si>
  <si>
    <t>6137</t>
  </si>
  <si>
    <t>Études marché export</t>
  </si>
  <si>
    <t>6142</t>
  </si>
  <si>
    <t>Transports sur ventes</t>
  </si>
  <si>
    <t>Transports inter-sites</t>
  </si>
  <si>
    <t>6143</t>
  </si>
  <si>
    <t>Déplacements &amp; missions commerciaux</t>
  </si>
  <si>
    <t>6144</t>
  </si>
  <si>
    <t>Publicité &amp; communication B2B</t>
  </si>
  <si>
    <t>6145</t>
  </si>
  <si>
    <t>Frais postaux &amp; télécommunications</t>
  </si>
  <si>
    <t>6146</t>
  </si>
  <si>
    <t>Cotisations CGEM, fédérations pro</t>
  </si>
  <si>
    <t>6147</t>
  </si>
  <si>
    <t>Services bancaires &amp; commissions</t>
  </si>
  <si>
    <t>6148</t>
  </si>
  <si>
    <t>Autres charges externes diverses</t>
  </si>
  <si>
    <t>TOTAL ZBB</t>
  </si>
  <si>
    <t>RÈGLE D'AUDIT : ÉCART MATÉRIEL = (|Δ MAD| &gt; SEUIL_MAD) ET/OU (|%Δ| &gt; SEUIL_PCT) → JUSTIFICATION OBLIGATOIRE</t>
  </si>
  <si>
    <t>MASSE SALARIALE &amp; CHARGES SOCIALES — COMPTE 617 (CGNC)</t>
  </si>
  <si>
    <t>Décomposition CGNC : 6171 Rémunérations du personnel / 6174 Charges sociales / 6176 Charges sociales diverses / 6177 Rémunérations exploitant</t>
  </si>
  <si>
    <t>Charges patronales calculées : CNSS plafonnée 6 000 MAD × 8,98% + AMO 4,11% (sans plafond) + Taxe formation 1,6% + CIMR 6% (si actif)</t>
  </si>
  <si>
    <t>Effectif</t>
  </si>
  <si>
    <t>Salaire brut moyen mensuel</t>
  </si>
  <si>
    <t>Salaire brut annuel total</t>
  </si>
  <si>
    <t>CNSS patronale plafonnée</t>
  </si>
  <si>
    <t>AMO patronale</t>
  </si>
  <si>
    <t>Taxe formation</t>
  </si>
  <si>
    <t>CIMR patronale</t>
  </si>
  <si>
    <t>Total charges patronales</t>
  </si>
  <si>
    <t>Coût employeur total</t>
  </si>
  <si>
    <t>6171/6174</t>
  </si>
  <si>
    <t>Qualité</t>
  </si>
  <si>
    <t>SYNTHÈSE PAR CENTRE DE COÛT</t>
  </si>
  <si>
    <t>Coût employeur annuel</t>
  </si>
  <si>
    <t>COMPTE DE PRODUITS ET CHARGES — MODÈLE NORMALISÉ CGNC</t>
  </si>
  <si>
    <t>Présentation 3 niveaux : Exploitation / Financier / Non Courant — conforme CGNC</t>
  </si>
  <si>
    <t>Budget N+1</t>
  </si>
  <si>
    <t>I — PRODUITS D'EXPLOITATION</t>
  </si>
  <si>
    <t>711</t>
  </si>
  <si>
    <t>Ventes de marchandises (en l'état)</t>
  </si>
  <si>
    <t>712</t>
  </si>
  <si>
    <t>Ventes de biens et services produits</t>
  </si>
  <si>
    <t>713</t>
  </si>
  <si>
    <t>Variation de stocks de produits</t>
  </si>
  <si>
    <t>714</t>
  </si>
  <si>
    <t>Immobilisations produites par l'entreprise</t>
  </si>
  <si>
    <t>718</t>
  </si>
  <si>
    <t>Autres produits d'exploitation</t>
  </si>
  <si>
    <t>719</t>
  </si>
  <si>
    <t>Reprises d'exploitation et transferts de charges</t>
  </si>
  <si>
    <t>I</t>
  </si>
  <si>
    <t>TOTAL PRODUITS D'EXPLOITATION (I)</t>
  </si>
  <si>
    <t>II — CHARGES D'EXPLOITATION</t>
  </si>
  <si>
    <t>611</t>
  </si>
  <si>
    <t>Achats revendus de marchandises</t>
  </si>
  <si>
    <t>612</t>
  </si>
  <si>
    <t>Achats consommés de matières et fournitures</t>
  </si>
  <si>
    <t>613/614</t>
  </si>
  <si>
    <t>Autres charges externes (ZBB)</t>
  </si>
  <si>
    <t>616</t>
  </si>
  <si>
    <t>Impôts et taxes</t>
  </si>
  <si>
    <t>617</t>
  </si>
  <si>
    <t>Charges de personnel (compte 617)</t>
  </si>
  <si>
    <t>618</t>
  </si>
  <si>
    <t>Autres charges d'exploitation</t>
  </si>
  <si>
    <t>619</t>
  </si>
  <si>
    <t>Dotations d'exploitation (amortissements, provisions)</t>
  </si>
  <si>
    <t>II</t>
  </si>
  <si>
    <t>TOTAL CHARGES D'EXPLOITATION (II)</t>
  </si>
  <si>
    <t>III</t>
  </si>
  <si>
    <t>RÉSULTAT D'EXPLOITATION (I-II)</t>
  </si>
  <si>
    <t>IV — PRODUITS FINANCIERS</t>
  </si>
  <si>
    <t>732</t>
  </si>
  <si>
    <t>Produits des titres de participation</t>
  </si>
  <si>
    <t>733</t>
  </si>
  <si>
    <t>Gains de change</t>
  </si>
  <si>
    <t>738</t>
  </si>
  <si>
    <t>Intérêts et autres produits financiers</t>
  </si>
  <si>
    <t>739</t>
  </si>
  <si>
    <t>Reprises financières et transferts de charges</t>
  </si>
  <si>
    <t>IV</t>
  </si>
  <si>
    <t>TOTAL PRODUITS FINANCIERS (IV)</t>
  </si>
  <si>
    <t>V — CHARGES FINANCIÈRES</t>
  </si>
  <si>
    <t>631</t>
  </si>
  <si>
    <t>Charges d'intérêts</t>
  </si>
  <si>
    <t>633</t>
  </si>
  <si>
    <t>Pertes de change</t>
  </si>
  <si>
    <t>638</t>
  </si>
  <si>
    <t>Autres charges financières</t>
  </si>
  <si>
    <t>639</t>
  </si>
  <si>
    <t>Dotations financières</t>
  </si>
  <si>
    <t>V</t>
  </si>
  <si>
    <t>TOTAL CHARGES FINANCIÈRES (V)</t>
  </si>
  <si>
    <t>VI</t>
  </si>
  <si>
    <t>RÉSULTAT FINANCIER (IV-V)</t>
  </si>
  <si>
    <t>VII</t>
  </si>
  <si>
    <t>RÉSULTAT COURANT (III+VI)</t>
  </si>
  <si>
    <t>VIII — PRODUITS NON COURANTS</t>
  </si>
  <si>
    <t>751</t>
  </si>
  <si>
    <t>Produits de cession d'immobilisations</t>
  </si>
  <si>
    <t>756</t>
  </si>
  <si>
    <t>Subventions d'équilibre</t>
  </si>
  <si>
    <t>758</t>
  </si>
  <si>
    <t>Autres produits non courants</t>
  </si>
  <si>
    <t>VIII</t>
  </si>
  <si>
    <t>TOTAL PRODUITS NON COURANTS (VIII)</t>
  </si>
  <si>
    <t>IX — CHARGES NON COURANTES</t>
  </si>
  <si>
    <t>651</t>
  </si>
  <si>
    <t>VNA des immobilisations cédées</t>
  </si>
  <si>
    <t>656</t>
  </si>
  <si>
    <t>Subventions accordées</t>
  </si>
  <si>
    <t>658</t>
  </si>
  <si>
    <t>Autres charges non courantes</t>
  </si>
  <si>
    <t>IX</t>
  </si>
  <si>
    <t>TOTAL CHARGES NON COURANTES (IX)</t>
  </si>
  <si>
    <t>X</t>
  </si>
  <si>
    <t>RÉSULTAT NON COURANT (VIII-IX)</t>
  </si>
  <si>
    <t>XI</t>
  </si>
  <si>
    <t>RÉSULTAT AVANT IMPÔTS (VII+X)</t>
  </si>
  <si>
    <t>XII — IMPÔTS SUR LE RÉSULTAT (arbitrage IS / Cotisation Minimale)</t>
  </si>
  <si>
    <t>670-IS</t>
  </si>
  <si>
    <t>Impôt sur les Sociétés théorique (taux × résultat fiscal)</t>
  </si>
  <si>
    <t>670-CM</t>
  </si>
  <si>
    <t>Cotisation Minimale (article 144 CGI)</t>
  </si>
  <si>
    <t>670</t>
  </si>
  <si>
    <t>Impôt dû = MAX(IS ; Cotisation Minimale)</t>
  </si>
  <si>
    <t>XIII</t>
  </si>
  <si>
    <t>RÉSULTAT NET DE L'EXERCICE</t>
  </si>
  <si>
    <t>SOLDES INTERMÉDIAIRES DE GESTION</t>
  </si>
  <si>
    <t>MB</t>
  </si>
  <si>
    <t>Marge brute sur achats consommés</t>
  </si>
  <si>
    <t>MB%</t>
  </si>
  <si>
    <t>Taux de marge brute</t>
  </si>
  <si>
    <t>EBITDA = REX + Dotations d'exploitation</t>
  </si>
  <si>
    <t>EBITDA%</t>
  </si>
  <si>
    <t>MN%</t>
  </si>
  <si>
    <t>Marge nette</t>
  </si>
  <si>
    <t>BILAN DE SYNTHÈSE — MODÈLE NORMALISÉ CGNC</t>
  </si>
  <si>
    <t>Présentation Actif / Passif — focus sur les agrégats BFR et endettement</t>
  </si>
  <si>
    <t>ACTIF — IMMOBILISÉ</t>
  </si>
  <si>
    <t>21</t>
  </si>
  <si>
    <t>Immobilisations en non-valeurs (frais préliminaires)</t>
  </si>
  <si>
    <t>22</t>
  </si>
  <si>
    <t>Immobilisations incorporelles (logiciels, fonds)</t>
  </si>
  <si>
    <t>23</t>
  </si>
  <si>
    <t>Immobilisations corporelles (terrains, bâtiments, ITM)</t>
  </si>
  <si>
    <t>24/25</t>
  </si>
  <si>
    <t>Immobilisations financières (titres, prêts)</t>
  </si>
  <si>
    <t>27</t>
  </si>
  <si>
    <t>Écarts de conversion - Actif</t>
  </si>
  <si>
    <t>TOTAL ACTIF IMMOBILISÉ</t>
  </si>
  <si>
    <t>ACTIF — CIRCULANT</t>
  </si>
  <si>
    <t>31</t>
  </si>
  <si>
    <t>Stocks (matières, encours, produits)</t>
  </si>
  <si>
    <t>342</t>
  </si>
  <si>
    <t>Clients et comptes rattachés</t>
  </si>
  <si>
    <t>345</t>
  </si>
  <si>
    <t>État (TVA, IS) - débiteur</t>
  </si>
  <si>
    <t>348</t>
  </si>
  <si>
    <t>Autres débiteurs et comptes de régularisation</t>
  </si>
  <si>
    <t>TOTAL ACTIF CIRCULANT</t>
  </si>
  <si>
    <t>TRÉSORERIE — ACTIF</t>
  </si>
  <si>
    <t>514</t>
  </si>
  <si>
    <t>Banques, TG et CCP</t>
  </si>
  <si>
    <t>516</t>
  </si>
  <si>
    <t>Caisses, régies d'avances</t>
  </si>
  <si>
    <t>TOTAL TRÉSORERIE - ACTIF</t>
  </si>
  <si>
    <t>ACTIF</t>
  </si>
  <si>
    <t>TOTAL ACTIF (I+II+III)</t>
  </si>
  <si>
    <t>PASSIF — FINANCEMENT PERMANENT</t>
  </si>
  <si>
    <t>111</t>
  </si>
  <si>
    <t>Capital social</t>
  </si>
  <si>
    <t>112</t>
  </si>
  <si>
    <t>Primes d'émission, fusion, apport</t>
  </si>
  <si>
    <t>114</t>
  </si>
  <si>
    <t>Réserves légales et réglementées</t>
  </si>
  <si>
    <t>116</t>
  </si>
  <si>
    <t>Report à nouveau</t>
  </si>
  <si>
    <t>118</t>
  </si>
  <si>
    <t>Résultat net de l'exercice</t>
  </si>
  <si>
    <t>13</t>
  </si>
  <si>
    <t>Capitaux propres assimilés (subventions, provisions régl.)</t>
  </si>
  <si>
    <t>14</t>
  </si>
  <si>
    <t>Dettes de financement (emprunts &gt; 1 an)</t>
  </si>
  <si>
    <t>15</t>
  </si>
  <si>
    <t>Provisions durables pour risques et charges</t>
  </si>
  <si>
    <t>TOTAL FINANCEMENT PERMANENT</t>
  </si>
  <si>
    <t>PASSIF — CIRCULANT</t>
  </si>
  <si>
    <t>441</t>
  </si>
  <si>
    <t>Fournisseurs et comptes rattachés</t>
  </si>
  <si>
    <t>443</t>
  </si>
  <si>
    <t>Personnel - créditeur</t>
  </si>
  <si>
    <t>444</t>
  </si>
  <si>
    <t>Organismes sociaux (CNSS, AMO, CIMR)</t>
  </si>
  <si>
    <t>445</t>
  </si>
  <si>
    <t>État (TVA, IS) - créditeur</t>
  </si>
  <si>
    <t>448</t>
  </si>
  <si>
    <t>Autres créanciers et comptes de régularisation</t>
  </si>
  <si>
    <t>TOTAL PASSIF CIRCULANT</t>
  </si>
  <si>
    <t>TRÉSORERIE — PASSIF</t>
  </si>
  <si>
    <t>552</t>
  </si>
  <si>
    <t>Crédits de trésorerie (escompte, Spot)</t>
  </si>
  <si>
    <t>554</t>
  </si>
  <si>
    <t>Banques (soldes créditeurs)</t>
  </si>
  <si>
    <t>TOTAL TRÉSORERIE - PASSIF</t>
  </si>
  <si>
    <t>PASSIF</t>
  </si>
  <si>
    <t>TOTAL PASSIF (I+II+III)</t>
  </si>
  <si>
    <t>CTRL</t>
  </si>
  <si>
    <t>ÉQUILIBRE BILAN (Actif - Passif) — doit être nul</t>
  </si>
  <si>
    <t>RATIOS BFR &amp; STRUCTURE FINANCIÈRE</t>
  </si>
  <si>
    <t>Ratio</t>
  </si>
  <si>
    <t>Définition</t>
  </si>
  <si>
    <t>Besoin en Fonds de Roulement = Actif circulant - Passif circulant</t>
  </si>
  <si>
    <t>DSO</t>
  </si>
  <si>
    <t>Délai de recouvrement clients (jours) = (Clients × 360) / CA TTC</t>
  </si>
  <si>
    <t>DPO</t>
  </si>
  <si>
    <t>Délai fournisseurs (jours) = (Fournisseurs × 360) / Achats TTC</t>
  </si>
  <si>
    <t>DIO</t>
  </si>
  <si>
    <t>Rotation des stocks (jours) = (Stocks × 360) / Achats consommés</t>
  </si>
  <si>
    <t>GEAR</t>
  </si>
  <si>
    <t>Gearing = Dettes financières / Capitaux propres</t>
  </si>
  <si>
    <t>AUTO</t>
  </si>
  <si>
    <t>Autonomie financière = Capitaux propres / Total bilan</t>
  </si>
  <si>
    <t>REPORTING COMPARATIF — RÉEL N-1 / RÉEL N ESTIMÉ / BUDGET N+1</t>
  </si>
  <si>
    <t>Analyse d'écarts multi-axes : croissance, volume, prix, mix, productivité</t>
  </si>
  <si>
    <t>Code</t>
  </si>
  <si>
    <t>Agrégat / KPI</t>
  </si>
  <si>
    <t>Δ N+1 vs N (MAD)</t>
  </si>
  <si>
    <t>Δ N+1 vs N (%)</t>
  </si>
  <si>
    <t>Statut RAG</t>
  </si>
  <si>
    <t>CA</t>
  </si>
  <si>
    <t>Chiffre d'affaires (711+712)</t>
  </si>
  <si>
    <t>REX</t>
  </si>
  <si>
    <t>Résultat d'Exploitation</t>
  </si>
  <si>
    <t>RN</t>
  </si>
  <si>
    <t>Charges Pers</t>
  </si>
  <si>
    <t>Charges de personnel</t>
  </si>
  <si>
    <t>Charges ext</t>
  </si>
  <si>
    <t>Besoin en Fonds de Roulement</t>
  </si>
  <si>
    <t>DSO (jours)</t>
  </si>
  <si>
    <t>Gearing (Dettes / Capitaux propres)</t>
  </si>
  <si>
    <t>Total bilan</t>
  </si>
  <si>
    <t>MAPPING CGNC — TABLE DE CORRESPONDANCE COMPTES ↔ AGRÉGATS DE GESTION (AUDIT TRAIL)</t>
  </si>
  <si>
    <t>Référentiel : Plan Comptable Marocain — classes 1 à 7</t>
  </si>
  <si>
    <t>Libellé compte</t>
  </si>
  <si>
    <t>Classe</t>
  </si>
  <si>
    <t>Agrégat de gestion</t>
  </si>
  <si>
    <t>Onglet source</t>
  </si>
  <si>
    <t>Logique de calcul</t>
  </si>
  <si>
    <t>1111</t>
  </si>
  <si>
    <t>1 - Financement permanent</t>
  </si>
  <si>
    <t>Capitaux propres</t>
  </si>
  <si>
    <t>Saisie directe</t>
  </si>
  <si>
    <t>1140</t>
  </si>
  <si>
    <t>Réserves légales et statutaires</t>
  </si>
  <si>
    <t>1</t>
  </si>
  <si>
    <t>Saisie + affectation RN</t>
  </si>
  <si>
    <t>1161</t>
  </si>
  <si>
    <t>RAN N-1 + (RN N - dividendes)</t>
  </si>
  <si>
    <t>1181</t>
  </si>
  <si>
    <t>Lien dynamique vers CPC ligne XIII</t>
  </si>
  <si>
    <t>1410</t>
  </si>
  <si>
    <t>Emprunts obligataires</t>
  </si>
  <si>
    <t>Dettes financement</t>
  </si>
  <si>
    <t>Saisie + tableau d'amortissement</t>
  </si>
  <si>
    <t>1481</t>
  </si>
  <si>
    <t>Emprunts auprès des établissements de crédit</t>
  </si>
  <si>
    <t>1510</t>
  </si>
  <si>
    <t>Provisions durables pour risques</t>
  </si>
  <si>
    <t>Provisions</t>
  </si>
  <si>
    <t>Saisie - mouvements de l'exercice</t>
  </si>
  <si>
    <t>2111</t>
  </si>
  <si>
    <t>Frais de constitution</t>
  </si>
  <si>
    <t>2 - Actif immobilisé</t>
  </si>
  <si>
    <t>Immo non-valeurs</t>
  </si>
  <si>
    <t>Amortis sur 5 ans</t>
  </si>
  <si>
    <t>2230</t>
  </si>
  <si>
    <t>Brevets, marques, logiciels</t>
  </si>
  <si>
    <t>2</t>
  </si>
  <si>
    <t>Immo incorporelles</t>
  </si>
  <si>
    <t>Saisie + dotations</t>
  </si>
  <si>
    <t>2311</t>
  </si>
  <si>
    <t>Terrains nus</t>
  </si>
  <si>
    <t>Immo corporelles</t>
  </si>
  <si>
    <t>Saisie - non amortissable</t>
  </si>
  <si>
    <t>2321</t>
  </si>
  <si>
    <t>Bâtiments industriels</t>
  </si>
  <si>
    <t>Saisie + dotations 4-5%</t>
  </si>
  <si>
    <t>2332</t>
  </si>
  <si>
    <t>Matériel et outillage</t>
  </si>
  <si>
    <t>Saisie + dotations 10-20%</t>
  </si>
  <si>
    <t>2340</t>
  </si>
  <si>
    <t>Matériel de transport</t>
  </si>
  <si>
    <t>Saisie + dotations 20-25%</t>
  </si>
  <si>
    <t>2510</t>
  </si>
  <si>
    <t>Titres de participation</t>
  </si>
  <si>
    <t>Immo financières</t>
  </si>
  <si>
    <t>Saisie - test de dépréciation</t>
  </si>
  <si>
    <t>3111</t>
  </si>
  <si>
    <t>Marchandises (stocks)</t>
  </si>
  <si>
    <t>3 - Actif circulant</t>
  </si>
  <si>
    <t>Stocks</t>
  </si>
  <si>
    <t>Inventaire physique × CMP</t>
  </si>
  <si>
    <t>3121</t>
  </si>
  <si>
    <t>Matières premières</t>
  </si>
  <si>
    <t>3</t>
  </si>
  <si>
    <t>3140</t>
  </si>
  <si>
    <t>Produits en cours</t>
  </si>
  <si>
    <t>Comptabilité analytique</t>
  </si>
  <si>
    <t>3155</t>
  </si>
  <si>
    <t>Produits finis</t>
  </si>
  <si>
    <t>Inventaire × CR de production</t>
  </si>
  <si>
    <t>3421</t>
  </si>
  <si>
    <t>Clients - groupe</t>
  </si>
  <si>
    <t>Créances clients</t>
  </si>
  <si>
    <t>Balance client à date</t>
  </si>
  <si>
    <t>3423</t>
  </si>
  <si>
    <t>Clients - effets à recevoir</t>
  </si>
  <si>
    <t>Balance effets</t>
  </si>
  <si>
    <t>3455</t>
  </si>
  <si>
    <t>État - TVA récupérable / crédit</t>
  </si>
  <si>
    <t>État débiteur</t>
  </si>
  <si>
    <t>Déclarations TVA cumulées</t>
  </si>
  <si>
    <t>4411</t>
  </si>
  <si>
    <t>Fournisseurs</t>
  </si>
  <si>
    <t>4 - Passif circulant</t>
  </si>
  <si>
    <t>Dettes fournisseurs</t>
  </si>
  <si>
    <t>Balance fournisseurs</t>
  </si>
  <si>
    <t>4441</t>
  </si>
  <si>
    <t>CNSS</t>
  </si>
  <si>
    <t>4</t>
  </si>
  <si>
    <t>Dettes sociales</t>
  </si>
  <si>
    <t>Calcul automatique sur paie</t>
  </si>
  <si>
    <t>4445</t>
  </si>
  <si>
    <t>Mutuelles (AMO/AMI)</t>
  </si>
  <si>
    <t>4453</t>
  </si>
  <si>
    <t>État - TVA facturée</t>
  </si>
  <si>
    <t>État créditeur</t>
  </si>
  <si>
    <t>Déclarations TVA</t>
  </si>
  <si>
    <t>4455</t>
  </si>
  <si>
    <t>État - IS dû</t>
  </si>
  <si>
    <t>Lien CPC : IS dû XII</t>
  </si>
  <si>
    <t>5141</t>
  </si>
  <si>
    <t>Banques (comptes courants)</t>
  </si>
  <si>
    <t>5 - Trésorerie</t>
  </si>
  <si>
    <t>Trésorerie active</t>
  </si>
  <si>
    <t>Relevés bancaires</t>
  </si>
  <si>
    <t>5161</t>
  </si>
  <si>
    <t>Caisses</t>
  </si>
  <si>
    <t>5</t>
  </si>
  <si>
    <t>Inventaire de caisse</t>
  </si>
  <si>
    <t>5520</t>
  </si>
  <si>
    <t>Crédits d'escompte</t>
  </si>
  <si>
    <t>Trésorerie passive</t>
  </si>
  <si>
    <t>Encours bancaires</t>
  </si>
  <si>
    <t>6111</t>
  </si>
  <si>
    <t>Achats de marchandises (Maroc)</t>
  </si>
  <si>
    <t>6 - Charges</t>
  </si>
  <si>
    <t>Achats consommés</t>
  </si>
  <si>
    <t>Saisie + analyse marges</t>
  </si>
  <si>
    <t>6121</t>
  </si>
  <si>
    <t>Achats de matières premières</t>
  </si>
  <si>
    <t>6</t>
  </si>
  <si>
    <t>Saisie + driver tonnages</t>
  </si>
  <si>
    <t>Locations &amp; charges locatives</t>
  </si>
  <si>
    <t>Charges externes (ZBB)</t>
  </si>
  <si>
    <t>ZBB - justification baux</t>
  </si>
  <si>
    <t>Redevances de crédit-bail</t>
  </si>
  <si>
    <t>ZBB - contrats leasing</t>
  </si>
  <si>
    <t>Entretien et réparations</t>
  </si>
  <si>
    <t>ZBB - plan maintenance</t>
  </si>
  <si>
    <t>Primes d'assurance</t>
  </si>
  <si>
    <t>ZBB - polices en cours</t>
  </si>
  <si>
    <t>Rémunérations d'intermédiaires</t>
  </si>
  <si>
    <t>ZBB - commissions sur CA</t>
  </si>
  <si>
    <t>Honoraires (CAC, juridique, conseil)</t>
  </si>
  <si>
    <t>ZBB - mandats</t>
  </si>
  <si>
    <t>Transports</t>
  </si>
  <si>
    <t>ZBB - drivers logistiques</t>
  </si>
  <si>
    <t>Déplacements et missions</t>
  </si>
  <si>
    <t>ZBB - politique voyages</t>
  </si>
  <si>
    <t>Publicité et communication</t>
  </si>
  <si>
    <t>ZBB - plan marketing</t>
  </si>
  <si>
    <t>Services bancaires</t>
  </si>
  <si>
    <t>ZBB - frais financiers</t>
  </si>
  <si>
    <t>6161</t>
  </si>
  <si>
    <t>Patente / Taxe Professionnelle</t>
  </si>
  <si>
    <t>Calcul forfaitaire</t>
  </si>
  <si>
    <t>6162</t>
  </si>
  <si>
    <t>Taxes diverses</t>
  </si>
  <si>
    <t>6171</t>
  </si>
  <si>
    <t>Rémunération du personnel</t>
  </si>
  <si>
    <t>Effectif × salaire × 12</t>
  </si>
  <si>
    <t>6174</t>
  </si>
  <si>
    <t>Charges sociales (CNSS, AMO, taxe form, CIMR)</t>
  </si>
  <si>
    <t>Calcul automatique - taux légaux</t>
  </si>
  <si>
    <t>6191</t>
  </si>
  <si>
    <t>Dotations aux amortissements (immo)</t>
  </si>
  <si>
    <t>Dotations exploitation</t>
  </si>
  <si>
    <t>Plan d'amortissement</t>
  </si>
  <si>
    <t>6195</t>
  </si>
  <si>
    <t>Dotations aux provisions (créances)</t>
  </si>
  <si>
    <t>Politique de dépréciation</t>
  </si>
  <si>
    <t>6311</t>
  </si>
  <si>
    <t>Charges d'intérêts (emprunts)</t>
  </si>
  <si>
    <t>Charges financières</t>
  </si>
  <si>
    <t>Tableau d'amortissement</t>
  </si>
  <si>
    <t>6331</t>
  </si>
  <si>
    <t>Calcul aux cours BAM</t>
  </si>
  <si>
    <t>6510</t>
  </si>
  <si>
    <t>Charges non courantes</t>
  </si>
  <si>
    <t>Cessions de l'exercice</t>
  </si>
  <si>
    <t>6700</t>
  </si>
  <si>
    <t>Impôts sur les bénéfices (IS)</t>
  </si>
  <si>
    <t>Impôt</t>
  </si>
  <si>
    <t>MAX(IS théorique ; Cot. Min.)</t>
  </si>
  <si>
    <t>7 - Produits</t>
  </si>
  <si>
    <t>Chiffre d'affaires</t>
  </si>
  <si>
    <t>Volumes × prix - sites domestiques</t>
  </si>
  <si>
    <t>7</t>
  </si>
  <si>
    <t>Volumes × prix - sites Tanger ZF</t>
  </si>
  <si>
    <t>7121</t>
  </si>
  <si>
    <t>Ventes de biens produits</t>
  </si>
  <si>
    <t>Volumes × prix - production</t>
  </si>
  <si>
    <t>7131</t>
  </si>
  <si>
    <t>Production stockée</t>
  </si>
  <si>
    <t>Δ stocks produits N-N-1</t>
  </si>
  <si>
    <t>7141</t>
  </si>
  <si>
    <t>Immobilisations produites</t>
  </si>
  <si>
    <t>Production immobilisée</t>
  </si>
  <si>
    <t>Coûts production internes</t>
  </si>
  <si>
    <t>7181</t>
  </si>
  <si>
    <t>Autres produits</t>
  </si>
  <si>
    <t>Refacturations, royalties</t>
  </si>
  <si>
    <t>7321</t>
  </si>
  <si>
    <t>Produits financiers</t>
  </si>
  <si>
    <t>Dividendes encaissés</t>
  </si>
  <si>
    <t>7331</t>
  </si>
  <si>
    <t>Réévaluation aux cours BAM</t>
  </si>
  <si>
    <t>7510</t>
  </si>
  <si>
    <t>Produits non courants</t>
  </si>
  <si>
    <t>HEATMAP — ÉCARTS BUDGÉTAIRES PAR CENTRE DE COÛT × COMPTE CGNC</t>
  </si>
  <si>
    <t>Lecture : écart Budget N+1 vs Réel N estimé en MAD — coloration thermique automatique</t>
  </si>
  <si>
    <t>Compte CGNC / Poste</t>
  </si>
  <si>
    <t>Total</t>
  </si>
  <si>
    <t>CONTRÔLES DE COHÉRENCE &amp; CHECKLIST CONSEIL D'ADMINISTRATION</t>
  </si>
  <si>
    <t>1. CONTRÔLES ARITHMÉTIQUES AUTOMATIQUES</t>
  </si>
  <si>
    <t>#</t>
  </si>
  <si>
    <t>Contrôle</t>
  </si>
  <si>
    <t>Valeur calculée</t>
  </si>
  <si>
    <t>Tolérance</t>
  </si>
  <si>
    <t>Équilibre Bilan : Total Actif = Total Passif (N+1)</t>
  </si>
  <si>
    <t>Bilan équilibré sur l'exercice budgété</t>
  </si>
  <si>
    <t>CA CPC = Σ Drivers (cohérence intersheet)</t>
  </si>
  <si>
    <t>Cohérence drivers/CPC</t>
  </si>
  <si>
    <t>Charges externes CPC = ZBB Total</t>
  </si>
  <si>
    <t>À vérifier manuellement vs ligne 613/614 du CPC</t>
  </si>
  <si>
    <t>Personnel CPC = Coût employeur 5_Personnel</t>
  </si>
  <si>
    <t>À vérifier manuellement vs ligne 617 du CPC</t>
  </si>
  <si>
    <t>IS dû ≥ Cotisation Minimale</t>
  </si>
  <si>
    <t>Application article 144 CGI</t>
  </si>
  <si>
    <t>Marge brute &gt; 0</t>
  </si>
  <si>
    <t>Cohérence économique</t>
  </si>
  <si>
    <t>EBITDA &gt; 0</t>
  </si>
  <si>
    <t>Rentabilité opérationnelle</t>
  </si>
  <si>
    <t>Résultat net &gt; 0</t>
  </si>
  <si>
    <t>Performance globale</t>
  </si>
  <si>
    <t>BFR positif (industrie)</t>
  </si>
  <si>
    <t>Cycle d'exploitation</t>
  </si>
  <si>
    <t>Gearing &lt; 100%</t>
  </si>
  <si>
    <t>Levier financier maîtrisé</t>
  </si>
  <si>
    <t>2. CHECKLIST PRÉSENTATION CONSEIL D'ADMINISTRATION</t>
  </si>
  <si>
    <t>Item de checklist</t>
  </si>
  <si>
    <t>Validé</t>
  </si>
  <si>
    <t>Responsable</t>
  </si>
  <si>
    <t>Approbation du périmètre de consolidation (entités, sites)</t>
  </si>
  <si>
    <t>☐</t>
  </si>
  <si>
    <t>Validation des hypothèses macroéconomiques (inflation, change)</t>
  </si>
  <si>
    <t>Validation des drivers de CA (volumes, prix, mix produit)</t>
  </si>
  <si>
    <t>Justification ZBB de toutes les lignes en écart &gt; seuil matériel</t>
  </si>
  <si>
    <t>Plan de recrutement et masse salariale validés par les RH</t>
  </si>
  <si>
    <t>Cohérence entre Budget et plan stratégique 3 ans</t>
  </si>
  <si>
    <t>Calcul fiscal : arbitrage IS / Cotisation Minimale documenté</t>
  </si>
  <si>
    <t>Plan d'investissement (CAPEX) intégré au modèle</t>
  </si>
  <si>
    <t>Plan de financement (cashflow prévisionnel) cohérent</t>
  </si>
  <si>
    <t>Analyse de sensibilité réalisée (scénarios optimiste / pessimiste)</t>
  </si>
  <si>
    <t>Avis du Comité d'Audit sur les hypothèses</t>
  </si>
  <si>
    <t>Validation par les commissaires aux comptes (lettre d'affirmation)</t>
  </si>
  <si>
    <t>Présentation du document confidentiel — DAF</t>
  </si>
  <si>
    <t>Vote en CA et compte-rendu</t>
  </si>
  <si>
    <t>DOCUMENTATION DES CONNECTEURS POWER QUERY — Sage 100 / SAP Business One</t>
  </si>
  <si>
    <t>Procédure d'intégration des balances comptables réelles via Power Query (Excel ou Power BI)</t>
  </si>
  <si>
    <t>1. SOURCES DE DONNÉES</t>
  </si>
  <si>
    <t>Source</t>
  </si>
  <si>
    <t>Format</t>
  </si>
  <si>
    <t>Fréquence</t>
  </si>
  <si>
    <t>Sage 100 Cloud — Balance générale</t>
  </si>
  <si>
    <t>Export de la balance N à 6 ou 8 chiffres, classes 1-7, période courante</t>
  </si>
  <si>
    <t>CSV / Excel</t>
  </si>
  <si>
    <t>Mensuelle</t>
  </si>
  <si>
    <t>Sage 100 Cloud — Balance auxiliaire clients</t>
  </si>
  <si>
    <t>Détail par client pour le calcul du DSO réel et la balance âgée</t>
  </si>
  <si>
    <t>Sage 100 Cloud — Balance auxiliaire fournisseurs</t>
  </si>
  <si>
    <t>Détail par fournisseur pour le calcul du DPO et la balance âgée</t>
  </si>
  <si>
    <t>SAP Business One — Tableau des achats consommés</t>
  </si>
  <si>
    <t>Données analytiques par site et par centre de coût</t>
  </si>
  <si>
    <t>Excel / API</t>
  </si>
  <si>
    <t>SAP Business One — Reporting de production</t>
  </si>
  <si>
    <t>Tonnage produit par ligne, prix unitaires effectifs</t>
  </si>
  <si>
    <t>Hebdomadaire</t>
  </si>
  <si>
    <t>Paie (SAGE Paie / ADP)</t>
  </si>
  <si>
    <t>État détaillé masse salariale + cotisations CNSS/AMO/CIMR</t>
  </si>
  <si>
    <t>Excel</t>
  </si>
  <si>
    <t>2. ÉTAPES DE PARAMÉTRAGE POWER QUERY</t>
  </si>
  <si>
    <t>1. Dans Excel : Données → Obtenir des données → À partir d'un fichier → CSV (ou Dossier pour automatiser)</t>
  </si>
  <si>
    <t>2. Sélectionner le fichier d'export Sage / SAP B1 — vérifier l'encodage (UTF-8 ou Windows-1252)</t>
  </si>
  <si>
    <t>3. Étape « Transformation » : conserver les colonnes Compte, Libellé, Débit, Crédit, Solde</t>
  </si>
  <si>
    <t>4. Étape « Type de données » : Compte → Texte (préserver les zéros à gauche), Solde → Nombre décimal</t>
  </si>
  <si>
    <t>5. Étape « Filtrer » : ne conserver que les comptes des classes 1 à 7 (commencent par 1, 2, 3, 4, 5, 6 ou 7)</t>
  </si>
  <si>
    <t>6. Étape « Colonne calculée » : ajouter colonne Classe = Left([Compte], 1)</t>
  </si>
  <si>
    <t>7. Étape « Fusion » : joindre avec la table Mapping_CGNC (onglet 9) sur la colonne Compte pour récupérer l'agrégat</t>
  </si>
  <si>
    <t>8. Étape « Pivot » : pivoter par mois pour obtenir une vue 12 colonnes (un mois par colonne)</t>
  </si>
  <si>
    <t>9. Charger le résultat dans une feuille dédiée : 'Source_Sage_N' ou 'Source_SAPB1_N'</t>
  </si>
  <si>
    <t>10. Dans le modèle budgétaire : remplacer les valeurs Réel N estimé (col E) par des formules INDEX/MATCH ou XLOOKUP sur la table chargée</t>
  </si>
  <si>
    <t>11. Actualisation : Données → Actualiser tout (Ctrl+Alt+F5) avant chaque revue mensuelle</t>
  </si>
  <si>
    <t>12. Sécurité : protéger la connexion par mot de passe si fichier sensible</t>
  </si>
  <si>
    <t>3. CODE M POWER QUERY EXEMPLE — IMPORT BALANCE SAGE</t>
  </si>
  <si>
    <t>let
    Source = Csv.Document(File.Contents("C:\Exports\Sage\Balance_N.csv"),
              [Delimiter=";", Columns=8, Encoding=1252, QuoteStyle=QuoteStyle.None]),
    PromoHeaders = Table.PromoteHeaders(Source, [PromoteAllScalars=true]),
    TypedTable = Table.TransformColumnTypes(PromoHeaders,{
              {"Compte", type text}, {"Libellé", type text},
              {"Débit", type number}, {"Crédit", type number}, {"Solde", type number}}),
    AddClasse = Table.AddColumn(TypedTable, "Classe", each Text.Start([Compte], 1)),
    FilterClasses = Table.SelectRows(AddClasse,
              each List.Contains({"1","2","3","4","5","6","7"}, [Classe])),
    Merged = Table.NestedJoin(FilterClasses, {"Compte"},
              MappingCGNC, {"Compte"}, "MappingExpanded", JoinKind.LeftOuter),
    Expand = Table.ExpandTableColumn(Merged, "MappingExpanded",
              {"Agrégat de gestion"}, {"Agrégat"}),
    SortAccount = Table.Sort(Expand, {{"Compte", Order.Ascending}})
in
    SortAccount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</si>
</sst>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%;[Red]\(0.00%\);\-"/>
    <numFmt numFmtId="165" formatCode="#,##0.00&quot; MAD&quot;;[Red]\(#,##0.00&quot;) MAD&quot;;\-"/>
    <numFmt numFmtId="166" formatCode="#,##0;[Red]\(#,##0\);\-"/>
    <numFmt numFmtId="167" formatCode="#,##0&quot; j&quot;"/>
  </numFmts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i/>
      <sz val="10"/>
      <color rgb="FF4B004B"/>
      <name val="Calibri"/>
      <charset val="1"/>
    </font>
    <font>
      <i/>
      <sz val="10"/>
      <color rgb="FF595959"/>
      <name val="Calibri"/>
      <charset val="1"/>
    </font>
    <font>
      <b/>
      <sz val="12"/>
      <color rgb="FF4B004B"/>
      <name val="Calibri"/>
      <charset val="1"/>
    </font>
    <font>
      <b/>
      <sz val="10"/>
      <color rgb="FFFFFFFF"/>
      <name val="Calibri"/>
      <charset val="1"/>
    </font>
    <font>
      <b/>
      <sz val="10"/>
      <color rgb="FF4B004B"/>
      <name val="Calibri"/>
      <charset val="1"/>
    </font>
    <font>
      <sz val="10"/>
      <color rgb="FF000000"/>
      <name val="Calibri"/>
      <charset val="1"/>
    </font>
    <font>
      <b/>
      <sz val="10"/>
      <color rgb="FF0000FF"/>
      <name val="Calibri"/>
      <charset val="1"/>
    </font>
    <font>
      <b/>
      <sz val="10"/>
      <color rgb="FF000000"/>
      <name val="Calibri"/>
      <charset val="1"/>
    </font>
    <font>
      <b/>
      <sz val="10"/>
      <color rgb="FF008000"/>
      <name val="Calibri"/>
      <charset val="1"/>
    </font>
    <font>
      <b/>
      <sz val="10"/>
      <color rgb="FF800080"/>
      <name val="Calibri"/>
      <charset val="1"/>
    </font>
    <font>
      <i/>
      <sz val="8"/>
      <color rgb="FF595959"/>
      <name val="Calibri"/>
      <charset val="1"/>
    </font>
    <font>
      <sz val="10"/>
      <color rgb="FF0000FF"/>
      <name val="Calibri"/>
      <charset val="1"/>
    </font>
    <font>
      <i/>
      <sz val="9"/>
      <color rgb="FF595959"/>
      <name val="Calibri"/>
      <charset val="1"/>
    </font>
    <font>
      <b/>
      <sz val="11"/>
      <color rgb="FFFFFFFF"/>
      <name val="Calibri"/>
      <charset val="1"/>
    </font>
    <font>
      <b/>
      <sz val="18"/>
      <color rgb="FF4B004B"/>
      <name val="Calibri"/>
      <charset val="1"/>
    </font>
    <font>
      <sz val="10"/>
      <color rgb="FF008000"/>
      <name val="Calibri"/>
      <charset val="1"/>
    </font>
    <font>
      <b/>
      <i/>
      <sz val="9"/>
      <color rgb="FF4B004B"/>
      <name val="Calibri"/>
      <charset val="1"/>
    </font>
    <font>
      <i/>
      <sz val="9"/>
      <color rgb="FF008000"/>
      <name val="Calibri"/>
      <charset val="1"/>
    </font>
    <font>
      <sz val="9"/>
      <color rgb="FF4B004B"/>
      <name val="Consolas"/>
      <charset val="1"/>
    </font>
    <font>
      <b/>
      <sz val="17"/>
      <color rgb="FFFFFFFF"/>
      <name val="Calibri"/>
      <family val="2"/>
    </font>
    <font>
      <b/>
      <sz val="17"/>
      <color rgb="FF4B004B"/>
      <name val="Calibri"/>
      <family val="2"/>
    </font>
    <font>
      <sz val="17"/>
      <color rgb="FF000000"/>
      <name val="Calibri"/>
      <family val="2"/>
    </font>
    <font>
      <sz val="17"/>
      <color rgb="FF008000"/>
      <name val="Calibri"/>
      <family val="2"/>
    </font>
    <font>
      <sz val="17"/>
      <color rgb="FF0000FF"/>
      <name val="Calibri"/>
      <family val="2"/>
    </font>
    <font>
      <b/>
      <i/>
      <sz val="12"/>
      <color rgb="FF4B004B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F4E5B2"/>
        <bgColor rgb="FFFFE699"/>
      </patternFill>
    </fill>
    <fill>
      <patternFill patternType="solid">
        <fgColor rgb="FFF2F2F2"/>
        <bgColor rgb="FFF9F9F9"/>
      </patternFill>
    </fill>
    <fill>
      <patternFill patternType="solid">
        <fgColor rgb="FFFFFFCC"/>
        <bgColor rgb="FFF9F9F9"/>
      </patternFill>
    </fill>
    <fill>
      <patternFill patternType="solid">
        <fgColor rgb="FF4B004B"/>
        <bgColor rgb="FF800080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6" borderId="2" xfId="0" applyFont="1" applyFill="1" applyBorder="1" applyAlignment="1">
      <alignment horizontal="right" vertical="center"/>
    </xf>
    <xf numFmtId="0" fontId="14" fillId="0" borderId="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13" fillId="5" borderId="2" xfId="0" applyNumberFormat="1" applyFont="1" applyFill="1" applyBorder="1" applyAlignment="1">
      <alignment horizontal="right" vertical="center"/>
    </xf>
    <xf numFmtId="165" fontId="13" fillId="5" borderId="2" xfId="0" applyNumberFormat="1" applyFont="1" applyFill="1" applyBorder="1" applyAlignment="1">
      <alignment horizontal="right" vertical="center"/>
    </xf>
    <xf numFmtId="166" fontId="13" fillId="5" borderId="2" xfId="0" applyNumberFormat="1" applyFont="1" applyFill="1" applyBorder="1" applyAlignment="1">
      <alignment horizontal="right" vertical="center"/>
    </xf>
    <xf numFmtId="167" fontId="13" fillId="5" borderId="2" xfId="0" applyNumberFormat="1" applyFont="1" applyFill="1" applyBorder="1" applyAlignment="1">
      <alignment horizontal="right" vertical="center"/>
    </xf>
    <xf numFmtId="167" fontId="17" fillId="0" borderId="2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center"/>
    </xf>
    <xf numFmtId="164" fontId="17" fillId="0" borderId="2" xfId="0" applyNumberFormat="1" applyFont="1" applyBorder="1" applyAlignment="1">
      <alignment horizontal="right" vertical="center"/>
    </xf>
    <xf numFmtId="165" fontId="17" fillId="3" borderId="2" xfId="0" applyNumberFormat="1" applyFont="1" applyFill="1" applyBorder="1" applyAlignment="1">
      <alignment horizontal="right" vertical="center"/>
    </xf>
    <xf numFmtId="165" fontId="7" fillId="3" borderId="2" xfId="0" applyNumberFormat="1" applyFont="1" applyFill="1" applyBorder="1" applyAlignment="1">
      <alignment horizontal="right" vertical="center"/>
    </xf>
    <xf numFmtId="165" fontId="17" fillId="0" borderId="2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0" fontId="14" fillId="0" borderId="0" xfId="0" applyFont="1"/>
    <xf numFmtId="166" fontId="6" fillId="3" borderId="2" xfId="0" applyNumberFormat="1" applyFont="1" applyFill="1" applyBorder="1" applyAlignment="1">
      <alignment horizontal="right" vertical="center"/>
    </xf>
    <xf numFmtId="166" fontId="5" fillId="6" borderId="2" xfId="0" applyNumberFormat="1" applyFont="1" applyFill="1" applyBorder="1" applyAlignment="1">
      <alignment horizontal="right" vertical="center"/>
    </xf>
    <xf numFmtId="165" fontId="6" fillId="3" borderId="2" xfId="0" applyNumberFormat="1" applyFont="1" applyFill="1" applyBorder="1" applyAlignment="1">
      <alignment horizontal="right" vertical="center"/>
    </xf>
    <xf numFmtId="165" fontId="5" fillId="6" borderId="2" xfId="0" applyNumberFormat="1" applyFont="1" applyFill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top" wrapText="1"/>
    </xf>
    <xf numFmtId="0" fontId="13" fillId="5" borderId="2" xfId="0" applyFont="1" applyFill="1" applyBorder="1" applyAlignment="1">
      <alignment horizontal="right" vertical="center"/>
    </xf>
    <xf numFmtId="14" fontId="13" fillId="5" borderId="2" xfId="0" applyNumberFormat="1" applyFont="1" applyFill="1" applyBorder="1" applyAlignment="1">
      <alignment horizontal="right" vertical="center"/>
    </xf>
    <xf numFmtId="0" fontId="18" fillId="0" borderId="0" xfId="0" applyFont="1"/>
    <xf numFmtId="166" fontId="7" fillId="0" borderId="2" xfId="0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165" fontId="17" fillId="5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19" fillId="0" borderId="2" xfId="0" applyFont="1" applyBorder="1" applyAlignment="1">
      <alignment horizontal="left" vertical="center" indent="1"/>
    </xf>
    <xf numFmtId="165" fontId="7" fillId="0" borderId="2" xfId="0" applyNumberFormat="1" applyFont="1" applyBorder="1" applyAlignment="1">
      <alignment horizontal="right"/>
    </xf>
    <xf numFmtId="0" fontId="13" fillId="5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/>
    </xf>
    <xf numFmtId="0" fontId="23" fillId="0" borderId="2" xfId="0" applyFont="1" applyBorder="1" applyAlignment="1">
      <alignment horizontal="left" vertical="center" indent="1"/>
    </xf>
    <xf numFmtId="165" fontId="24" fillId="0" borderId="2" xfId="0" applyNumberFormat="1" applyFont="1" applyBorder="1" applyAlignment="1">
      <alignment horizontal="right" vertical="center"/>
    </xf>
    <xf numFmtId="165" fontId="23" fillId="0" borderId="2" xfId="0" applyNumberFormat="1" applyFont="1" applyBorder="1" applyAlignment="1">
      <alignment horizontal="right" vertical="center"/>
    </xf>
    <xf numFmtId="164" fontId="23" fillId="0" borderId="2" xfId="0" applyNumberFormat="1" applyFont="1" applyBorder="1" applyAlignment="1">
      <alignment horizontal="right" vertical="center"/>
    </xf>
    <xf numFmtId="165" fontId="25" fillId="5" borderId="2" xfId="0" applyNumberFormat="1" applyFont="1" applyFill="1" applyBorder="1" applyAlignment="1">
      <alignment horizontal="right" vertical="center"/>
    </xf>
    <xf numFmtId="167" fontId="24" fillId="0" borderId="2" xfId="0" applyNumberFormat="1" applyFont="1" applyBorder="1" applyAlignment="1">
      <alignment horizontal="right" vertical="center"/>
    </xf>
    <xf numFmtId="164" fontId="24" fillId="0" borderId="2" xfId="0" applyNumberFormat="1" applyFont="1" applyBorder="1" applyAlignment="1">
      <alignment horizontal="right" vertical="center"/>
    </xf>
    <xf numFmtId="0" fontId="26" fillId="0" borderId="0" xfId="0" applyFont="1"/>
    <xf numFmtId="0" fontId="27" fillId="0" borderId="0" xfId="0" applyFont="1"/>
    <xf numFmtId="165" fontId="22" fillId="3" borderId="2" xfId="0" applyNumberFormat="1" applyFont="1" applyFill="1" applyBorder="1" applyAlignment="1">
      <alignment horizontal="right" vertical="center"/>
    </xf>
    <xf numFmtId="0" fontId="21" fillId="6" borderId="2" xfId="0" applyFont="1" applyFill="1" applyBorder="1" applyAlignment="1">
      <alignment horizontal="right" vertical="center"/>
    </xf>
    <xf numFmtId="165" fontId="21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5" fillId="2" borderId="1" xfId="0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left" vertical="center" indent="1"/>
    </xf>
    <xf numFmtId="0" fontId="20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CCC"/>
        </patternFill>
      </fill>
    </dxf>
    <dxf>
      <fill>
        <patternFill>
          <bgColor rgb="FFFFE6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F2F2F2"/>
      <rgbColor rgb="FF4B004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F4E5B2"/>
      <rgbColor rgb="FFFFC7CE"/>
      <rgbColor rgb="FFCC99FF"/>
      <rgbColor rgb="FFFFCCCC"/>
      <rgbColor rgb="FF3366FF"/>
      <rgbColor rgb="FF33CCCC"/>
      <rgbColor rgb="FF9BBB59"/>
      <rgbColor rgb="FFFFCC00"/>
      <rgbColor rgb="FFD4AF37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Waterfall Résultat Net N → N+1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'2_Dashboard'!$B$26</c:f>
              <c:strCache>
                <c:ptCount val="1"/>
                <c:pt idx="0">
                  <c:v>RN N (départ)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'2_Dashboard'!$D$25</c:f>
              <c:strCache>
                <c:ptCount val="1"/>
                <c:pt idx="0">
                  <c:v>Valeur</c:v>
                </c:pt>
              </c:strCache>
            </c:strRef>
          </c:cat>
          <c:val>
            <c:numRef>
              <c:f>'2_Dashboard'!$D$26</c:f>
              <c:numCache>
                <c:formatCode>#\ ##0.00" MAD";[Red]\(#\ ##0.00") MAD";\-</c:formatCode>
                <c:ptCount val="1"/>
                <c:pt idx="0">
                  <c:v>47501025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0-415E-8A26-4F86384547EE}"/>
            </c:ext>
          </c:extLst>
        </c:ser>
        <c:ser>
          <c:idx val="1"/>
          <c:order val="1"/>
          <c:tx>
            <c:strRef>
              <c:f>'2_Dashboard'!$B$27</c:f>
              <c:strCache>
                <c:ptCount val="1"/>
                <c:pt idx="0">
                  <c:v>Effet CA (volume×prix)</c:v>
                </c:pt>
              </c:strCache>
            </c:strRef>
          </c:tx>
          <c:invertIfNegative val="0"/>
          <c:cat>
            <c:strRef>
              <c:f>'2_Dashboard'!$D$25</c:f>
              <c:strCache>
                <c:ptCount val="1"/>
                <c:pt idx="0">
                  <c:v>Valeur</c:v>
                </c:pt>
              </c:strCache>
            </c:strRef>
          </c:cat>
          <c:val>
            <c:numRef>
              <c:f>'2_Dashboard'!$D$27</c:f>
              <c:numCache>
                <c:formatCode>#\ ##0.00" MAD";[Red]\(#\ ##0.00") MAD";\-</c:formatCode>
                <c:ptCount val="1"/>
                <c:pt idx="0">
                  <c:v>-36708428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0-415E-8A26-4F86384547EE}"/>
            </c:ext>
          </c:extLst>
        </c:ser>
        <c:ser>
          <c:idx val="2"/>
          <c:order val="2"/>
          <c:tx>
            <c:strRef>
              <c:f>'2_Dashboard'!$B$28</c:f>
              <c:strCache>
                <c:ptCount val="1"/>
                <c:pt idx="0">
                  <c:v>Effet achats consommés</c:v>
                </c:pt>
              </c:strCache>
            </c:strRef>
          </c:tx>
          <c:invertIfNegative val="0"/>
          <c:cat>
            <c:strRef>
              <c:f>'2_Dashboard'!$D$25</c:f>
              <c:strCache>
                <c:ptCount val="1"/>
                <c:pt idx="0">
                  <c:v>Valeur</c:v>
                </c:pt>
              </c:strCache>
            </c:strRef>
          </c:cat>
          <c:val>
            <c:numRef>
              <c:f>'2_Dashboard'!$D$28</c:f>
              <c:numCache>
                <c:formatCode>#\ ##0.00" MAD";[Red]\(#\ ##0.00") MAD";\-</c:formatCode>
                <c:ptCount val="1"/>
                <c:pt idx="0">
                  <c:v>-3276000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0-415E-8A26-4F86384547EE}"/>
            </c:ext>
          </c:extLst>
        </c:ser>
        <c:ser>
          <c:idx val="3"/>
          <c:order val="3"/>
          <c:tx>
            <c:strRef>
              <c:f>'2_Dashboard'!$B$29</c:f>
              <c:strCache>
                <c:ptCount val="1"/>
                <c:pt idx="0">
                  <c:v>Effet charges externes (ZBB)</c:v>
                </c:pt>
              </c:strCache>
            </c:strRef>
          </c:tx>
          <c:invertIfNegative val="0"/>
          <c:cat>
            <c:strRef>
              <c:f>'2_Dashboard'!$D$25</c:f>
              <c:strCache>
                <c:ptCount val="1"/>
                <c:pt idx="0">
                  <c:v>Valeur</c:v>
                </c:pt>
              </c:strCache>
            </c:strRef>
          </c:cat>
          <c:val>
            <c:numRef>
              <c:f>'2_Dashboard'!$D$29</c:f>
              <c:numCache>
                <c:formatCode>#\ ##0.00" MAD";[Red]\(#\ ##0.00") MAD";\-</c:formatCode>
                <c:ptCount val="1"/>
                <c:pt idx="0">
                  <c:v>-276000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20-415E-8A26-4F86384547EE}"/>
            </c:ext>
          </c:extLst>
        </c:ser>
        <c:ser>
          <c:idx val="4"/>
          <c:order val="4"/>
          <c:tx>
            <c:strRef>
              <c:f>'2_Dashboard'!$B$30</c:f>
              <c:strCache>
                <c:ptCount val="1"/>
                <c:pt idx="0">
                  <c:v>Effet masse salariale</c:v>
                </c:pt>
              </c:strCache>
            </c:strRef>
          </c:tx>
          <c:invertIfNegative val="0"/>
          <c:cat>
            <c:strRef>
              <c:f>'2_Dashboard'!$D$25</c:f>
              <c:strCache>
                <c:ptCount val="1"/>
                <c:pt idx="0">
                  <c:v>Valeur</c:v>
                </c:pt>
              </c:strCache>
            </c:strRef>
          </c:cat>
          <c:val>
            <c:numRef>
              <c:f>'2_Dashboard'!$D$30</c:f>
              <c:numCache>
                <c:formatCode>#\ ##0.00" MAD";[Red]\(#\ ##0.00") MAD";\-</c:formatCode>
                <c:ptCount val="1"/>
                <c:pt idx="0">
                  <c:v>-28484292.600000001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20-415E-8A26-4F86384547EE}"/>
            </c:ext>
          </c:extLst>
        </c:ser>
        <c:ser>
          <c:idx val="5"/>
          <c:order val="5"/>
          <c:tx>
            <c:strRef>
              <c:f>'2_Dashboard'!$B$31</c:f>
              <c:strCache>
                <c:ptCount val="1"/>
                <c:pt idx="0">
                  <c:v>Effet financier net</c:v>
                </c:pt>
              </c:strCache>
            </c:strRef>
          </c:tx>
          <c:invertIfNegative val="0"/>
          <c:cat>
            <c:strRef>
              <c:f>'2_Dashboard'!$D$25</c:f>
              <c:strCache>
                <c:ptCount val="1"/>
                <c:pt idx="0">
                  <c:v>Valeur</c:v>
                </c:pt>
              </c:strCache>
            </c:strRef>
          </c:cat>
          <c:val>
            <c:numRef>
              <c:f>'2_Dashboard'!$D$31</c:f>
              <c:numCache>
                <c:formatCode>#\ ##0.00" MAD";[Red]\(#\ ##0.00") MAD";\-</c:formatCode>
                <c:ptCount val="1"/>
                <c:pt idx="0">
                  <c:v>-50000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20-415E-8A26-4F86384547EE}"/>
            </c:ext>
          </c:extLst>
        </c:ser>
        <c:ser>
          <c:idx val="6"/>
          <c:order val="6"/>
          <c:tx>
            <c:strRef>
              <c:f>'2_Dashboard'!$B$32</c:f>
              <c:strCache>
                <c:ptCount val="1"/>
                <c:pt idx="0">
                  <c:v>Effet impôt (IS)</c:v>
                </c:pt>
              </c:strCache>
            </c:strRef>
          </c:tx>
          <c:invertIfNegative val="0"/>
          <c:cat>
            <c:strRef>
              <c:f>'2_Dashboard'!$D$25</c:f>
              <c:strCache>
                <c:ptCount val="1"/>
                <c:pt idx="0">
                  <c:v>Valeur</c:v>
                </c:pt>
              </c:strCache>
            </c:strRef>
          </c:cat>
          <c:val>
            <c:numRef>
              <c:f>'2_Dashboard'!$D$32</c:f>
              <c:numCache>
                <c:formatCode>#\ ##0.00" MAD";[Red]\(#\ ##0.00") MAD";\-</c:formatCode>
                <c:ptCount val="1"/>
                <c:pt idx="0">
                  <c:v>-445728.93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0-415E-8A26-4F86384547EE}"/>
            </c:ext>
          </c:extLst>
        </c:ser>
        <c:ser>
          <c:idx val="7"/>
          <c:order val="7"/>
          <c:tx>
            <c:strRef>
              <c:f>'2_Dashboard'!$B$33</c:f>
              <c:strCache>
                <c:ptCount val="1"/>
                <c:pt idx="0">
                  <c:v>RN N+1 (arrivée)</c:v>
                </c:pt>
              </c:strCache>
            </c:strRef>
          </c:tx>
          <c:invertIfNegative val="0"/>
          <c:cat>
            <c:strRef>
              <c:f>'2_Dashboard'!$D$25</c:f>
              <c:strCache>
                <c:ptCount val="1"/>
                <c:pt idx="0">
                  <c:v>Valeur</c:v>
                </c:pt>
              </c:strCache>
            </c:strRef>
          </c:cat>
          <c:val>
            <c:numRef>
              <c:f>'2_Dashboard'!$D$33</c:f>
              <c:numCache>
                <c:formatCode>#\ ##0.00" MAD";[Red]\(#\ ##0.00") MAD";\-</c:formatCode>
                <c:ptCount val="1"/>
                <c:pt idx="0">
                  <c:v>-109564449.53000003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20-415E-8A26-4F8638454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58972"/>
        <c:axId val="60461746"/>
      </c:barChart>
      <c:catAx>
        <c:axId val="425589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Montant (MAD)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0461746"/>
        <c:crosses val="autoZero"/>
        <c:auto val="1"/>
        <c:lblAlgn val="ctr"/>
        <c:lblOffset val="100"/>
        <c:noMultiLvlLbl val="0"/>
      </c:catAx>
      <c:valAx>
        <c:axId val="604617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Étape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.00&quot; MAD&quot;;[Red]\(#\ ##0.00&quot;) MAD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5589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25</xdr:row>
      <xdr:rowOff>0</xdr:rowOff>
    </xdr:from>
    <xdr:to>
      <xdr:col>19</xdr:col>
      <xdr:colOff>38475</xdr:colOff>
      <xdr:row>47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D31"/>
  <sheetViews>
    <sheetView showGridLines="0" zoomScaleNormal="100" workbookViewId="0">
      <selection activeCell="B26" sqref="B26"/>
    </sheetView>
  </sheetViews>
  <sheetFormatPr baseColWidth="10" defaultColWidth="8.7109375" defaultRowHeight="15" x14ac:dyDescent="0.25"/>
  <cols>
    <col min="1" max="1" width="4" customWidth="1"/>
    <col min="2" max="2" width="38" customWidth="1"/>
    <col min="3" max="3" width="70" customWidth="1"/>
    <col min="4" max="4" width="18" customWidth="1"/>
  </cols>
  <sheetData>
    <row r="1" spans="2:4" ht="39.75" customHeight="1" x14ac:dyDescent="0.25">
      <c r="B1" s="61" t="s">
        <v>0</v>
      </c>
      <c r="C1" s="61"/>
      <c r="D1" s="61"/>
    </row>
    <row r="3" spans="2:4" x14ac:dyDescent="0.25">
      <c r="B3" s="4" t="s">
        <v>1</v>
      </c>
    </row>
    <row r="4" spans="2:4" x14ac:dyDescent="0.25">
      <c r="B4" s="5" t="s">
        <v>2</v>
      </c>
    </row>
    <row r="5" spans="2:4" x14ac:dyDescent="0.25">
      <c r="B5" s="5" t="s">
        <v>3</v>
      </c>
    </row>
    <row r="7" spans="2:4" ht="15.75" x14ac:dyDescent="0.25">
      <c r="B7" s="59" t="s">
        <v>4</v>
      </c>
      <c r="C7" s="59"/>
      <c r="D7" s="59"/>
    </row>
    <row r="9" spans="2:4" ht="27.75" customHeight="1" x14ac:dyDescent="0.25">
      <c r="B9" s="6" t="s">
        <v>5</v>
      </c>
      <c r="C9" s="6" t="s">
        <v>6</v>
      </c>
      <c r="D9" s="6" t="s">
        <v>7</v>
      </c>
    </row>
    <row r="10" spans="2:4" ht="19.5" customHeight="1" x14ac:dyDescent="0.25">
      <c r="B10" s="7" t="s">
        <v>8</v>
      </c>
      <c r="C10" s="3" t="s">
        <v>9</v>
      </c>
      <c r="D10" s="8" t="s">
        <v>10</v>
      </c>
    </row>
    <row r="11" spans="2:4" ht="19.5" customHeight="1" x14ac:dyDescent="0.25">
      <c r="B11" s="7" t="s">
        <v>11</v>
      </c>
      <c r="C11" s="3" t="s">
        <v>12</v>
      </c>
      <c r="D11" s="8" t="s">
        <v>13</v>
      </c>
    </row>
    <row r="12" spans="2:4" ht="19.5" customHeight="1" x14ac:dyDescent="0.25">
      <c r="B12" s="7" t="s">
        <v>14</v>
      </c>
      <c r="C12" s="3" t="s">
        <v>15</v>
      </c>
      <c r="D12" s="8" t="s">
        <v>16</v>
      </c>
    </row>
    <row r="13" spans="2:4" ht="19.5" customHeight="1" x14ac:dyDescent="0.25">
      <c r="B13" s="7" t="s">
        <v>17</v>
      </c>
      <c r="C13" s="3" t="s">
        <v>18</v>
      </c>
      <c r="D13" s="8" t="s">
        <v>19</v>
      </c>
    </row>
    <row r="14" spans="2:4" ht="19.5" customHeight="1" x14ac:dyDescent="0.25">
      <c r="B14" s="7" t="s">
        <v>20</v>
      </c>
      <c r="C14" s="3" t="s">
        <v>21</v>
      </c>
      <c r="D14" s="8" t="s">
        <v>19</v>
      </c>
    </row>
    <row r="15" spans="2:4" ht="19.5" customHeight="1" x14ac:dyDescent="0.25">
      <c r="B15" s="7" t="s">
        <v>22</v>
      </c>
      <c r="C15" s="3" t="s">
        <v>23</v>
      </c>
      <c r="D15" s="8" t="s">
        <v>19</v>
      </c>
    </row>
    <row r="16" spans="2:4" ht="19.5" customHeight="1" x14ac:dyDescent="0.25">
      <c r="B16" s="7" t="s">
        <v>24</v>
      </c>
      <c r="C16" s="3" t="s">
        <v>25</v>
      </c>
      <c r="D16" s="8" t="s">
        <v>16</v>
      </c>
    </row>
    <row r="17" spans="1:4" ht="19.5" customHeight="1" x14ac:dyDescent="0.25">
      <c r="B17" s="7" t="s">
        <v>26</v>
      </c>
      <c r="C17" s="3" t="s">
        <v>27</v>
      </c>
      <c r="D17" s="8" t="s">
        <v>16</v>
      </c>
    </row>
    <row r="18" spans="1:4" ht="19.5" customHeight="1" x14ac:dyDescent="0.25">
      <c r="B18" s="7" t="s">
        <v>28</v>
      </c>
      <c r="C18" s="3" t="s">
        <v>29</v>
      </c>
      <c r="D18" s="8" t="s">
        <v>16</v>
      </c>
    </row>
    <row r="19" spans="1:4" ht="19.5" customHeight="1" x14ac:dyDescent="0.25">
      <c r="B19" s="7" t="s">
        <v>30</v>
      </c>
      <c r="C19" s="3" t="s">
        <v>31</v>
      </c>
      <c r="D19" s="8" t="s">
        <v>32</v>
      </c>
    </row>
    <row r="20" spans="1:4" ht="19.5" customHeight="1" x14ac:dyDescent="0.25">
      <c r="B20" s="7" t="s">
        <v>33</v>
      </c>
      <c r="C20" s="3" t="s">
        <v>34</v>
      </c>
      <c r="D20" s="8" t="s">
        <v>16</v>
      </c>
    </row>
    <row r="21" spans="1:4" ht="19.5" customHeight="1" x14ac:dyDescent="0.25">
      <c r="B21" s="7" t="s">
        <v>35</v>
      </c>
      <c r="C21" s="3" t="s">
        <v>36</v>
      </c>
      <c r="D21" s="8" t="s">
        <v>16</v>
      </c>
    </row>
    <row r="22" spans="1:4" ht="19.5" customHeight="1" x14ac:dyDescent="0.25">
      <c r="B22" s="7" t="s">
        <v>37</v>
      </c>
      <c r="C22" s="3" t="s">
        <v>38</v>
      </c>
      <c r="D22" s="8" t="s">
        <v>39</v>
      </c>
    </row>
    <row r="24" spans="1:4" ht="15.75" x14ac:dyDescent="0.25">
      <c r="B24" s="59" t="s">
        <v>40</v>
      </c>
      <c r="C24" s="59"/>
      <c r="D24" s="59"/>
    </row>
    <row r="25" spans="1:4" x14ac:dyDescent="0.25">
      <c r="B25" s="9" t="s">
        <v>41</v>
      </c>
      <c r="C25" s="3" t="s">
        <v>42</v>
      </c>
      <c r="D25" s="10" t="s">
        <v>43</v>
      </c>
    </row>
    <row r="26" spans="1:4" x14ac:dyDescent="0.25">
      <c r="B26" s="11" t="s">
        <v>44</v>
      </c>
      <c r="C26" s="3" t="s">
        <v>45</v>
      </c>
      <c r="D26" s="10" t="s">
        <v>43</v>
      </c>
    </row>
    <row r="27" spans="1:4" x14ac:dyDescent="0.25">
      <c r="B27" s="12" t="s">
        <v>46</v>
      </c>
      <c r="C27" s="3" t="s">
        <v>47</v>
      </c>
      <c r="D27" s="10" t="s">
        <v>43</v>
      </c>
    </row>
    <row r="28" spans="1:4" x14ac:dyDescent="0.25">
      <c r="B28" s="13" t="s">
        <v>48</v>
      </c>
      <c r="C28" s="3" t="s">
        <v>49</v>
      </c>
      <c r="D28" s="10" t="s">
        <v>43</v>
      </c>
    </row>
    <row r="31" spans="1:4" ht="18" customHeight="1" x14ac:dyDescent="0.25">
      <c r="A31" s="60" t="s">
        <v>50</v>
      </c>
      <c r="B31" s="60"/>
      <c r="C31" s="60"/>
      <c r="D31" s="60"/>
    </row>
  </sheetData>
  <mergeCells count="4">
    <mergeCell ref="B1:D1"/>
    <mergeCell ref="B7:D7"/>
    <mergeCell ref="B24:D24"/>
    <mergeCell ref="A31:D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F37"/>
  </sheetPr>
  <dimension ref="A1:E41"/>
  <sheetViews>
    <sheetView showGridLines="0" zoomScaleNormal="100" workbookViewId="0">
      <selection activeCell="G15" sqref="G15"/>
    </sheetView>
  </sheetViews>
  <sheetFormatPr baseColWidth="10" defaultColWidth="8.7109375" defaultRowHeight="15" x14ac:dyDescent="0.25"/>
  <cols>
    <col min="1" max="1" width="4" customWidth="1"/>
    <col min="2" max="2" width="42" customWidth="1"/>
    <col min="3" max="3" width="18" customWidth="1"/>
    <col min="4" max="4" width="14" customWidth="1"/>
    <col min="5" max="5" width="60" customWidth="1"/>
  </cols>
  <sheetData>
    <row r="1" spans="2:5" ht="36" customHeight="1" x14ac:dyDescent="0.25">
      <c r="B1" s="61" t="s">
        <v>51</v>
      </c>
      <c r="C1" s="61"/>
      <c r="D1" s="61"/>
      <c r="E1" s="61"/>
    </row>
    <row r="3" spans="2:5" ht="15.75" x14ac:dyDescent="0.25">
      <c r="B3" s="59" t="s">
        <v>52</v>
      </c>
      <c r="C3" s="59"/>
      <c r="D3" s="59"/>
      <c r="E3" s="59"/>
    </row>
    <row r="4" spans="2:5" ht="24" customHeight="1" x14ac:dyDescent="0.25">
      <c r="B4" s="6" t="s">
        <v>53</v>
      </c>
      <c r="C4" s="6" t="s">
        <v>54</v>
      </c>
      <c r="D4" s="6" t="s">
        <v>55</v>
      </c>
      <c r="E4" s="6" t="s">
        <v>56</v>
      </c>
    </row>
    <row r="5" spans="2:5" x14ac:dyDescent="0.25">
      <c r="B5" s="3" t="s">
        <v>57</v>
      </c>
      <c r="C5" s="14">
        <v>0.17499999999999999</v>
      </c>
      <c r="D5" s="10" t="s">
        <v>58</v>
      </c>
      <c r="E5" s="2" t="s">
        <v>59</v>
      </c>
    </row>
    <row r="6" spans="2:5" x14ac:dyDescent="0.25">
      <c r="B6" s="3" t="s">
        <v>60</v>
      </c>
      <c r="C6" s="14">
        <v>0.2</v>
      </c>
      <c r="D6" s="10" t="s">
        <v>58</v>
      </c>
      <c r="E6" s="2" t="s">
        <v>61</v>
      </c>
    </row>
    <row r="7" spans="2:5" x14ac:dyDescent="0.25">
      <c r="B7" s="3" t="s">
        <v>62</v>
      </c>
      <c r="C7" s="14">
        <v>0.22750000000000001</v>
      </c>
      <c r="D7" s="10" t="s">
        <v>58</v>
      </c>
      <c r="E7" s="2" t="s">
        <v>63</v>
      </c>
    </row>
    <row r="8" spans="2:5" x14ac:dyDescent="0.25">
      <c r="B8" s="3" t="s">
        <v>64</v>
      </c>
      <c r="C8" s="14">
        <v>0.34</v>
      </c>
      <c r="D8" s="10" t="s">
        <v>58</v>
      </c>
      <c r="E8" s="2" t="s">
        <v>65</v>
      </c>
    </row>
    <row r="9" spans="2:5" x14ac:dyDescent="0.25">
      <c r="B9" s="3" t="s">
        <v>66</v>
      </c>
      <c r="C9" s="14">
        <v>0.22750000000000001</v>
      </c>
      <c r="D9" s="10" t="s">
        <v>58</v>
      </c>
      <c r="E9" s="2" t="s">
        <v>67</v>
      </c>
    </row>
    <row r="10" spans="2:5" x14ac:dyDescent="0.25">
      <c r="B10" s="3" t="s">
        <v>68</v>
      </c>
      <c r="C10" s="14">
        <v>2.5000000000000001E-3</v>
      </c>
      <c r="D10" s="10" t="s">
        <v>58</v>
      </c>
      <c r="E10" s="2" t="s">
        <v>69</v>
      </c>
    </row>
    <row r="11" spans="2:5" x14ac:dyDescent="0.25">
      <c r="B11" s="3" t="s">
        <v>70</v>
      </c>
      <c r="C11" s="15">
        <v>3000</v>
      </c>
      <c r="D11" s="10" t="s">
        <v>71</v>
      </c>
      <c r="E11" s="2" t="s">
        <v>72</v>
      </c>
    </row>
    <row r="12" spans="2:5" x14ac:dyDescent="0.25">
      <c r="B12" s="3" t="s">
        <v>73</v>
      </c>
      <c r="C12" s="14">
        <v>0.2</v>
      </c>
      <c r="D12" s="10" t="s">
        <v>58</v>
      </c>
      <c r="E12" s="2" t="s">
        <v>74</v>
      </c>
    </row>
    <row r="13" spans="2:5" x14ac:dyDescent="0.25">
      <c r="B13" s="3" t="s">
        <v>75</v>
      </c>
      <c r="C13" s="14">
        <v>0.1</v>
      </c>
      <c r="D13" s="10" t="s">
        <v>58</v>
      </c>
      <c r="E13" s="2" t="s">
        <v>76</v>
      </c>
    </row>
    <row r="15" spans="2:5" ht="15.75" x14ac:dyDescent="0.25">
      <c r="B15" s="59" t="s">
        <v>77</v>
      </c>
      <c r="C15" s="59"/>
      <c r="D15" s="59"/>
      <c r="E15" s="59"/>
    </row>
    <row r="16" spans="2:5" ht="24" customHeight="1" x14ac:dyDescent="0.25">
      <c r="B16" s="6" t="s">
        <v>53</v>
      </c>
      <c r="C16" s="6" t="s">
        <v>54</v>
      </c>
      <c r="D16" s="6" t="s">
        <v>55</v>
      </c>
      <c r="E16" s="6" t="s">
        <v>56</v>
      </c>
    </row>
    <row r="17" spans="2:5" x14ac:dyDescent="0.25">
      <c r="B17" s="3" t="s">
        <v>78</v>
      </c>
      <c r="C17" s="15">
        <v>6000</v>
      </c>
      <c r="D17" s="10" t="s">
        <v>71</v>
      </c>
      <c r="E17" s="2" t="s">
        <v>79</v>
      </c>
    </row>
    <row r="18" spans="2:5" x14ac:dyDescent="0.25">
      <c r="B18" s="3" t="s">
        <v>80</v>
      </c>
      <c r="C18" s="14">
        <v>8.9800000000000005E-2</v>
      </c>
      <c r="D18" s="10" t="s">
        <v>58</v>
      </c>
      <c r="E18" s="2" t="s">
        <v>81</v>
      </c>
    </row>
    <row r="19" spans="2:5" x14ac:dyDescent="0.25">
      <c r="B19" s="3" t="s">
        <v>82</v>
      </c>
      <c r="C19" s="14">
        <v>4.48E-2</v>
      </c>
      <c r="D19" s="10" t="s">
        <v>58</v>
      </c>
      <c r="E19" s="2" t="s">
        <v>81</v>
      </c>
    </row>
    <row r="20" spans="2:5" x14ac:dyDescent="0.25">
      <c r="B20" s="3" t="s">
        <v>83</v>
      </c>
      <c r="C20" s="14">
        <v>4.1099999999999998E-2</v>
      </c>
      <c r="D20" s="10" t="s">
        <v>58</v>
      </c>
      <c r="E20" s="2" t="s">
        <v>84</v>
      </c>
    </row>
    <row r="21" spans="2:5" x14ac:dyDescent="0.25">
      <c r="B21" s="3" t="s">
        <v>85</v>
      </c>
      <c r="C21" s="14">
        <v>2.2599999999999999E-2</v>
      </c>
      <c r="D21" s="10" t="s">
        <v>58</v>
      </c>
      <c r="E21" s="2" t="s">
        <v>84</v>
      </c>
    </row>
    <row r="22" spans="2:5" x14ac:dyDescent="0.25">
      <c r="B22" s="3" t="s">
        <v>86</v>
      </c>
      <c r="C22" s="14">
        <v>1.6E-2</v>
      </c>
      <c r="D22" s="10" t="s">
        <v>58</v>
      </c>
      <c r="E22" s="2" t="s">
        <v>87</v>
      </c>
    </row>
    <row r="23" spans="2:5" x14ac:dyDescent="0.25">
      <c r="B23" s="3" t="s">
        <v>88</v>
      </c>
      <c r="C23" s="14">
        <v>0.06</v>
      </c>
      <c r="D23" s="10" t="s">
        <v>58</v>
      </c>
      <c r="E23" s="2" t="s">
        <v>89</v>
      </c>
    </row>
    <row r="24" spans="2:5" x14ac:dyDescent="0.25">
      <c r="B24" s="3" t="s">
        <v>90</v>
      </c>
      <c r="C24" s="14">
        <v>0.06</v>
      </c>
      <c r="D24" s="10" t="s">
        <v>58</v>
      </c>
      <c r="E24" s="2" t="s">
        <v>89</v>
      </c>
    </row>
    <row r="25" spans="2:5" x14ac:dyDescent="0.25">
      <c r="B25" s="3" t="s">
        <v>91</v>
      </c>
      <c r="C25" s="16">
        <v>1</v>
      </c>
      <c r="D25" s="10" t="s">
        <v>43</v>
      </c>
      <c r="E25" s="2" t="s">
        <v>92</v>
      </c>
    </row>
    <row r="27" spans="2:5" ht="15.75" x14ac:dyDescent="0.25">
      <c r="B27" s="59" t="s">
        <v>93</v>
      </c>
      <c r="C27" s="59"/>
      <c r="D27" s="59"/>
      <c r="E27" s="59"/>
    </row>
    <row r="28" spans="2:5" ht="24" customHeight="1" x14ac:dyDescent="0.25">
      <c r="B28" s="6" t="s">
        <v>53</v>
      </c>
      <c r="C28" s="6" t="s">
        <v>54</v>
      </c>
      <c r="D28" s="6" t="s">
        <v>55</v>
      </c>
      <c r="E28" s="6" t="s">
        <v>56</v>
      </c>
    </row>
    <row r="29" spans="2:5" x14ac:dyDescent="0.25">
      <c r="B29" s="3" t="s">
        <v>94</v>
      </c>
      <c r="C29" s="14">
        <v>2.5000000000000001E-2</v>
      </c>
      <c r="D29" s="10" t="s">
        <v>58</v>
      </c>
      <c r="E29" s="2" t="s">
        <v>95</v>
      </c>
    </row>
    <row r="30" spans="2:5" x14ac:dyDescent="0.25">
      <c r="B30" s="3" t="s">
        <v>96</v>
      </c>
      <c r="C30" s="15">
        <v>11.05</v>
      </c>
      <c r="D30" s="10" t="s">
        <v>71</v>
      </c>
      <c r="E30" s="2" t="s">
        <v>97</v>
      </c>
    </row>
    <row r="31" spans="2:5" x14ac:dyDescent="0.25">
      <c r="B31" s="3" t="s">
        <v>98</v>
      </c>
      <c r="C31" s="15">
        <v>10.199999999999999</v>
      </c>
      <c r="D31" s="10" t="s">
        <v>71</v>
      </c>
      <c r="E31" s="2" t="s">
        <v>97</v>
      </c>
    </row>
    <row r="32" spans="2:5" x14ac:dyDescent="0.25">
      <c r="B32" s="3" t="s">
        <v>99</v>
      </c>
      <c r="C32" s="14">
        <v>9.5000000000000001E-2</v>
      </c>
      <c r="D32" s="10" t="s">
        <v>58</v>
      </c>
      <c r="E32" s="2" t="s">
        <v>100</v>
      </c>
    </row>
    <row r="33" spans="1:5" x14ac:dyDescent="0.25">
      <c r="B33" s="3" t="s">
        <v>101</v>
      </c>
      <c r="C33" s="14">
        <v>5.8000000000000003E-2</v>
      </c>
      <c r="D33" s="10" t="s">
        <v>58</v>
      </c>
      <c r="E33" s="2" t="s">
        <v>102</v>
      </c>
    </row>
    <row r="34" spans="1:5" x14ac:dyDescent="0.25">
      <c r="B34" s="3" t="s">
        <v>103</v>
      </c>
      <c r="C34" s="17">
        <v>75</v>
      </c>
      <c r="D34" s="10" t="s">
        <v>104</v>
      </c>
      <c r="E34" s="2" t="s">
        <v>105</v>
      </c>
    </row>
    <row r="35" spans="1:5" x14ac:dyDescent="0.25">
      <c r="B35" s="3" t="s">
        <v>106</v>
      </c>
      <c r="C35" s="17">
        <v>60</v>
      </c>
      <c r="D35" s="10" t="s">
        <v>104</v>
      </c>
      <c r="E35" s="2" t="s">
        <v>107</v>
      </c>
    </row>
    <row r="36" spans="1:5" x14ac:dyDescent="0.25">
      <c r="B36" s="3" t="s">
        <v>108</v>
      </c>
      <c r="C36" s="17">
        <v>45</v>
      </c>
      <c r="D36" s="10" t="s">
        <v>104</v>
      </c>
      <c r="E36" s="2" t="s">
        <v>109</v>
      </c>
    </row>
    <row r="37" spans="1:5" x14ac:dyDescent="0.25">
      <c r="B37" s="3" t="s">
        <v>110</v>
      </c>
      <c r="C37" s="15">
        <v>50000</v>
      </c>
      <c r="D37" s="10" t="s">
        <v>71</v>
      </c>
      <c r="E37" s="2" t="s">
        <v>111</v>
      </c>
    </row>
    <row r="38" spans="1:5" x14ac:dyDescent="0.25">
      <c r="B38" s="3" t="s">
        <v>112</v>
      </c>
      <c r="C38" s="14">
        <v>0.05</v>
      </c>
      <c r="D38" s="10" t="s">
        <v>58</v>
      </c>
      <c r="E38" s="2" t="s">
        <v>111</v>
      </c>
    </row>
    <row r="41" spans="1:5" ht="18" customHeight="1" x14ac:dyDescent="0.25">
      <c r="A41" s="60" t="s">
        <v>50</v>
      </c>
      <c r="B41" s="60"/>
      <c r="C41" s="60"/>
      <c r="D41" s="60"/>
      <c r="E41" s="60"/>
    </row>
  </sheetData>
  <mergeCells count="5">
    <mergeCell ref="B1:E1"/>
    <mergeCell ref="B3:E3"/>
    <mergeCell ref="B15:E15"/>
    <mergeCell ref="B27:E27"/>
    <mergeCell ref="A41:E4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0080"/>
  </sheetPr>
  <dimension ref="A1:H54"/>
  <sheetViews>
    <sheetView showGridLines="0" topLeftCell="A4" zoomScale="166" zoomScaleNormal="100" workbookViewId="0">
      <selection activeCell="B11" sqref="B11:C11"/>
    </sheetView>
  </sheetViews>
  <sheetFormatPr baseColWidth="10" defaultColWidth="8.7109375" defaultRowHeight="15" x14ac:dyDescent="0.25"/>
  <cols>
    <col min="1" max="1" width="4" customWidth="1"/>
    <col min="2" max="2" width="22" customWidth="1"/>
    <col min="3" max="3" width="18" customWidth="1"/>
    <col min="4" max="5" width="20.7109375" customWidth="1"/>
    <col min="6" max="6" width="16.5703125" customWidth="1"/>
    <col min="7" max="8" width="18" customWidth="1"/>
    <col min="9" max="9" width="4" customWidth="1"/>
    <col min="10" max="12" width="13" customWidth="1"/>
    <col min="13" max="13" width="21.42578125" customWidth="1"/>
  </cols>
  <sheetData>
    <row r="1" spans="2:8" ht="49.5" customHeight="1" x14ac:dyDescent="0.25">
      <c r="B1" s="61" t="s">
        <v>113</v>
      </c>
      <c r="C1" s="61"/>
      <c r="D1" s="61"/>
      <c r="E1" s="61"/>
      <c r="F1" s="61"/>
      <c r="G1" s="61"/>
      <c r="H1" s="61"/>
    </row>
    <row r="3" spans="2:8" x14ac:dyDescent="0.25">
      <c r="B3" s="4" t="s">
        <v>114</v>
      </c>
    </row>
    <row r="5" spans="2:8" ht="15.75" x14ac:dyDescent="0.25">
      <c r="B5" s="59" t="s">
        <v>115</v>
      </c>
      <c r="C5" s="59"/>
      <c r="D5" s="59"/>
      <c r="E5" s="59"/>
      <c r="F5" s="59"/>
      <c r="G5" s="59"/>
      <c r="H5" s="59"/>
    </row>
    <row r="6" spans="2:8" ht="25.5" customHeight="1" x14ac:dyDescent="0.25">
      <c r="B6" s="62" t="s">
        <v>116</v>
      </c>
      <c r="C6" s="62"/>
      <c r="D6" s="62" t="s">
        <v>117</v>
      </c>
      <c r="E6" s="62"/>
      <c r="F6" s="62" t="s">
        <v>118</v>
      </c>
      <c r="G6" s="62"/>
    </row>
    <row r="7" spans="2:8" ht="37.5" customHeight="1" x14ac:dyDescent="0.25">
      <c r="B7" s="63">
        <f>VENTES_711+VENTES_712</f>
        <v>178291572</v>
      </c>
      <c r="C7" s="63"/>
      <c r="D7" s="63">
        <f>EBITDA_NPLUS1</f>
        <v>-97108720.600000024</v>
      </c>
      <c r="E7" s="63"/>
      <c r="F7" s="64">
        <f>IFERROR(EBITDA_NPLUS1/(VENTES_711+VENTES_712),0)</f>
        <v>-0.54466242857514335</v>
      </c>
      <c r="G7" s="64"/>
    </row>
    <row r="8" spans="2:8" ht="18" customHeight="1" x14ac:dyDescent="0.25">
      <c r="B8" s="65" t="s">
        <v>119</v>
      </c>
      <c r="C8" s="65"/>
      <c r="D8" s="65" t="s">
        <v>120</v>
      </c>
      <c r="E8" s="65"/>
      <c r="F8" s="65" t="s">
        <v>121</v>
      </c>
      <c r="G8" s="65"/>
    </row>
    <row r="10" spans="2:8" ht="25.5" customHeight="1" x14ac:dyDescent="0.25">
      <c r="B10" s="62" t="s">
        <v>122</v>
      </c>
      <c r="C10" s="62"/>
      <c r="D10" s="62" t="s">
        <v>123</v>
      </c>
      <c r="E10" s="62"/>
      <c r="F10" s="62" t="s">
        <v>124</v>
      </c>
      <c r="G10" s="62"/>
    </row>
    <row r="11" spans="2:8" ht="37.5" customHeight="1" x14ac:dyDescent="0.25">
      <c r="B11" s="63">
        <f>RESULTAT_NET_NPLUS1</f>
        <v>-109564449.53000003</v>
      </c>
      <c r="C11" s="63"/>
      <c r="D11" s="63">
        <f>BFR_NPLUS1</f>
        <v>41700000</v>
      </c>
      <c r="E11" s="63"/>
      <c r="F11" s="64">
        <f>GEAR_NPLUS1</f>
        <v>-0.20867678508276735</v>
      </c>
      <c r="G11" s="64"/>
    </row>
    <row r="12" spans="2:8" ht="18" customHeight="1" x14ac:dyDescent="0.25">
      <c r="B12" s="65" t="s">
        <v>125</v>
      </c>
      <c r="C12" s="65"/>
      <c r="D12" s="65" t="s">
        <v>126</v>
      </c>
      <c r="E12" s="65"/>
      <c r="F12" s="65" t="s">
        <v>127</v>
      </c>
      <c r="G12" s="65"/>
    </row>
    <row r="15" spans="2:8" ht="15.75" x14ac:dyDescent="0.25">
      <c r="B15" s="59" t="s">
        <v>128</v>
      </c>
      <c r="C15" s="59"/>
      <c r="D15" s="59"/>
      <c r="E15" s="59"/>
      <c r="F15" s="59"/>
      <c r="G15" s="59"/>
      <c r="H15" s="59"/>
    </row>
    <row r="16" spans="2:8" ht="27.75" customHeight="1" x14ac:dyDescent="0.25">
      <c r="B16" s="6" t="s">
        <v>129</v>
      </c>
      <c r="C16" s="6" t="s">
        <v>54</v>
      </c>
      <c r="D16" s="6" t="s">
        <v>130</v>
      </c>
      <c r="E16" s="6" t="s">
        <v>131</v>
      </c>
      <c r="F16" s="6" t="s">
        <v>132</v>
      </c>
      <c r="G16" s="6" t="s">
        <v>133</v>
      </c>
      <c r="H16" s="6"/>
    </row>
    <row r="17" spans="2:8" x14ac:dyDescent="0.25">
      <c r="B17" s="7" t="s">
        <v>134</v>
      </c>
      <c r="C17" s="18">
        <f>DSO_NPLUS1</f>
        <v>109.37140651830698</v>
      </c>
      <c r="D17" s="17">
        <f>DSO_CIBLE</f>
        <v>75</v>
      </c>
      <c r="E17" s="17">
        <v>15</v>
      </c>
      <c r="F17" s="19" t="str">
        <f>IF(C17&lt;=D17+E17,"🟢 Vert",IF(C17&lt;=D17+2*E17,"🟡 Ambre","🔴 Rouge"))</f>
        <v>🔴 Rouge</v>
      </c>
      <c r="G17" s="66" t="str">
        <f>IF(C17&lt;=D17+E17,"Maintenir",IF(C17&lt;=D17+2*E17,"Surveiller","Plan d''action requis"))</f>
        <v>Plan d''action requis</v>
      </c>
      <c r="H17" s="66"/>
    </row>
    <row r="18" spans="2:8" x14ac:dyDescent="0.25">
      <c r="B18" s="7" t="s">
        <v>124</v>
      </c>
      <c r="C18" s="20">
        <f>GEAR_NPLUS1</f>
        <v>-0.20867678508276735</v>
      </c>
      <c r="D18" s="14">
        <v>0.6</v>
      </c>
      <c r="E18" s="14">
        <v>0.15</v>
      </c>
      <c r="F18" s="19" t="str">
        <f t="shared" ref="F18:F21" si="0">IF(C18&lt;=D18+E18,"🟢 Vert",IF(C18&lt;=D18+2*E18,"🟡 Ambre","🔴 Rouge"))</f>
        <v>🟢 Vert</v>
      </c>
      <c r="G18" s="66" t="str">
        <f>IF(C18&lt;=D18+E18,"Maintenir",IF(C18&lt;=D18+2*E18,"Surveiller","Plan d''action requis"))</f>
        <v>Maintenir</v>
      </c>
      <c r="H18" s="66"/>
    </row>
    <row r="19" spans="2:8" x14ac:dyDescent="0.25">
      <c r="B19" s="7" t="s">
        <v>118</v>
      </c>
      <c r="C19" s="20">
        <f>IFERROR(EBITDA_NPLUS1/(VENTES_711+VENTES_712),0)</f>
        <v>-0.54466242857514335</v>
      </c>
      <c r="D19" s="14">
        <v>0.12</v>
      </c>
      <c r="E19" s="14">
        <v>0.03</v>
      </c>
      <c r="F19" s="19" t="str">
        <f t="shared" si="0"/>
        <v>🟢 Vert</v>
      </c>
      <c r="G19" s="66" t="str">
        <f>IF(C19&gt;=D19-E19,"Maintenir",IF(C19&gt;=D19-2*E19,"Surveiller","Plan d''action requis"))</f>
        <v>Plan d''action requis</v>
      </c>
      <c r="H19" s="66"/>
    </row>
    <row r="20" spans="2:8" x14ac:dyDescent="0.25">
      <c r="B20" s="7" t="s">
        <v>135</v>
      </c>
      <c r="C20" s="20">
        <f>IFERROR((VENTES_711+VENTES_712)/('6_CPC_Normalisé'!E6+'6_CPC_Normalisé'!E7)-1,0)</f>
        <v>-0.17073687441860463</v>
      </c>
      <c r="D20" s="14">
        <v>0.08</v>
      </c>
      <c r="E20" s="14">
        <v>0.04</v>
      </c>
      <c r="F20" s="19" t="str">
        <f t="shared" si="0"/>
        <v>🟢 Vert</v>
      </c>
      <c r="G20" s="66" t="str">
        <f>IF(C20&gt;=D20-E20,"Maintenir",IF(C20&gt;=D20-2*E20,"Surveiller","Plan d''action requis"))</f>
        <v>Plan d''action requis</v>
      </c>
      <c r="H20" s="66"/>
    </row>
    <row r="21" spans="2:8" x14ac:dyDescent="0.25">
      <c r="B21" s="7" t="s">
        <v>136</v>
      </c>
      <c r="C21" s="20">
        <f>IFERROR(BFR_NPLUS1/BFR_N-1,0)</f>
        <v>0.10058400893663655</v>
      </c>
      <c r="D21" s="14">
        <v>0.03</v>
      </c>
      <c r="E21" s="14">
        <v>0.02</v>
      </c>
      <c r="F21" s="19" t="str">
        <f t="shared" si="0"/>
        <v>🔴 Rouge</v>
      </c>
      <c r="G21" s="66" t="str">
        <f>IF(C21&lt;=D21+E21,"Maintenir",IF(C21&lt;=D21+2*E21,"Surveiller","Plan d''action requis"))</f>
        <v>Plan d''action requis</v>
      </c>
      <c r="H21" s="66"/>
    </row>
    <row r="24" spans="2:8" ht="15.75" x14ac:dyDescent="0.25">
      <c r="B24" s="59" t="s">
        <v>137</v>
      </c>
      <c r="C24" s="59"/>
      <c r="D24" s="59"/>
      <c r="E24" s="59"/>
      <c r="F24" s="59"/>
      <c r="G24" s="59"/>
      <c r="H24" s="59"/>
    </row>
    <row r="25" spans="2:8" ht="27.75" customHeight="1" x14ac:dyDescent="0.25">
      <c r="B25" s="6" t="s">
        <v>138</v>
      </c>
      <c r="C25" s="6" t="s">
        <v>7</v>
      </c>
      <c r="D25" s="6" t="s">
        <v>54</v>
      </c>
      <c r="E25" s="6" t="s">
        <v>139</v>
      </c>
      <c r="F25" s="6"/>
      <c r="G25" s="6" t="s">
        <v>140</v>
      </c>
      <c r="H25" s="6" t="s">
        <v>141</v>
      </c>
    </row>
    <row r="26" spans="2:8" x14ac:dyDescent="0.25">
      <c r="B26" s="7" t="s">
        <v>142</v>
      </c>
      <c r="C26" s="10" t="s">
        <v>143</v>
      </c>
      <c r="D26" s="21">
        <f>RESULTAT_NET_N</f>
        <v>47501025</v>
      </c>
      <c r="E26" s="22">
        <f>D26</f>
        <v>47501025</v>
      </c>
      <c r="F26" s="3"/>
      <c r="G26" s="67" t="s">
        <v>144</v>
      </c>
      <c r="H26" s="67"/>
    </row>
    <row r="27" spans="2:8" x14ac:dyDescent="0.25">
      <c r="B27" s="7" t="s">
        <v>145</v>
      </c>
      <c r="C27" s="10" t="s">
        <v>146</v>
      </c>
      <c r="D27" s="23">
        <f>(VENTES_711+VENTES_712)-('6_CPC_Normalisé'!E6+'6_CPC_Normalisé'!E7)</f>
        <v>-36708428</v>
      </c>
      <c r="E27" s="24">
        <f t="shared" ref="E27:E32" si="1">E26+D27</f>
        <v>10792597</v>
      </c>
      <c r="F27" s="3"/>
      <c r="G27" s="67" t="s">
        <v>147</v>
      </c>
      <c r="H27" s="67"/>
    </row>
    <row r="28" spans="2:8" x14ac:dyDescent="0.25">
      <c r="B28" s="7" t="s">
        <v>148</v>
      </c>
      <c r="C28" s="10" t="s">
        <v>149</v>
      </c>
      <c r="D28" s="23">
        <f>-(('6_CPC_Normalisé'!F17+'6_CPC_Normalisé'!F18)-('6_CPC_Normalisé'!E17+'6_CPC_Normalisé'!E18))</f>
        <v>-3276000</v>
      </c>
      <c r="E28" s="24">
        <f t="shared" si="1"/>
        <v>7516597</v>
      </c>
      <c r="F28" s="3"/>
      <c r="G28" s="67" t="s">
        <v>150</v>
      </c>
      <c r="H28" s="67"/>
    </row>
    <row r="29" spans="2:8" x14ac:dyDescent="0.25">
      <c r="B29" s="7" t="s">
        <v>151</v>
      </c>
      <c r="C29" s="10" t="s">
        <v>149</v>
      </c>
      <c r="D29" s="23">
        <f>-(ZBB_BUDGET_NPLUS1-ZBB_REEL_N)</f>
        <v>-276000</v>
      </c>
      <c r="E29" s="24">
        <f t="shared" si="1"/>
        <v>7240597</v>
      </c>
      <c r="F29" s="3"/>
      <c r="G29" s="67" t="s">
        <v>152</v>
      </c>
      <c r="H29" s="67"/>
    </row>
    <row r="30" spans="2:8" x14ac:dyDescent="0.25">
      <c r="B30" s="7" t="s">
        <v>153</v>
      </c>
      <c r="C30" s="10" t="s">
        <v>149</v>
      </c>
      <c r="D30" s="23">
        <f>-(COUT_EMPLOYEUR_TOTAL-31200000)</f>
        <v>-28484292.600000001</v>
      </c>
      <c r="E30" s="24">
        <f t="shared" si="1"/>
        <v>-21243695.600000001</v>
      </c>
      <c r="F30" s="3"/>
      <c r="G30" s="67" t="s">
        <v>154</v>
      </c>
      <c r="H30" s="67"/>
    </row>
    <row r="31" spans="2:8" x14ac:dyDescent="0.25">
      <c r="B31" s="7" t="s">
        <v>155</v>
      </c>
      <c r="C31" s="10" t="s">
        <v>156</v>
      </c>
      <c r="D31" s="23">
        <f>-((('6_CPC_Normalisé'!F38+'6_CPC_Normalisé'!F39+'6_CPC_Normalisé'!F40+'6_CPC_Normalisé'!F41)-('6_CPC_Normalisé'!E38+'6_CPC_Normalisé'!E39+'6_CPC_Normalisé'!E40+'6_CPC_Normalisé'!E41))-(('6_CPC_Normalisé'!F31+'6_CPC_Normalisé'!F32+'6_CPC_Normalisé'!F33+'6_CPC_Normalisé'!F34)-('6_CPC_Normalisé'!E31+'6_CPC_Normalisé'!E32+'6_CPC_Normalisé'!E33+'6_CPC_Normalisé'!E34)))</f>
        <v>-50000</v>
      </c>
      <c r="E31" s="24">
        <f t="shared" si="1"/>
        <v>-21293695.600000001</v>
      </c>
      <c r="F31" s="3"/>
      <c r="G31" s="67" t="s">
        <v>157</v>
      </c>
      <c r="H31" s="67"/>
    </row>
    <row r="32" spans="2:8" x14ac:dyDescent="0.25">
      <c r="B32" s="7" t="s">
        <v>158</v>
      </c>
      <c r="C32" s="10" t="s">
        <v>149</v>
      </c>
      <c r="D32" s="23">
        <f>-(IS_DU_NPLUS1-MAX(0,'6_CPC_Normalisé'!E54)*TAUX_IS)</f>
        <v>-445728.93</v>
      </c>
      <c r="E32" s="24">
        <f t="shared" si="1"/>
        <v>-21739424.530000001</v>
      </c>
      <c r="F32" s="3"/>
      <c r="G32" s="67" t="s">
        <v>159</v>
      </c>
      <c r="H32" s="67"/>
    </row>
    <row r="33" spans="2:8" x14ac:dyDescent="0.25">
      <c r="B33" s="7" t="s">
        <v>160</v>
      </c>
      <c r="C33" s="10" t="s">
        <v>161</v>
      </c>
      <c r="D33" s="21">
        <f>RESULTAT_NET_NPLUS1</f>
        <v>-109564449.53000003</v>
      </c>
      <c r="E33" s="22">
        <f>D33</f>
        <v>-109564449.53000003</v>
      </c>
      <c r="F33" s="3"/>
      <c r="G33" s="67" t="s">
        <v>162</v>
      </c>
      <c r="H33" s="67"/>
    </row>
    <row r="54" spans="1:8" ht="18" customHeight="1" x14ac:dyDescent="0.25">
      <c r="A54" s="60" t="s">
        <v>50</v>
      </c>
      <c r="B54" s="60"/>
      <c r="C54" s="60"/>
      <c r="D54" s="60"/>
      <c r="E54" s="60"/>
      <c r="F54" s="60"/>
      <c r="G54" s="60"/>
      <c r="H54" s="60"/>
    </row>
  </sheetData>
  <mergeCells count="36">
    <mergeCell ref="G31:H31"/>
    <mergeCell ref="G32:H32"/>
    <mergeCell ref="G33:H33"/>
    <mergeCell ref="A54:H54"/>
    <mergeCell ref="G26:H26"/>
    <mergeCell ref="G27:H27"/>
    <mergeCell ref="G28:H28"/>
    <mergeCell ref="G29:H29"/>
    <mergeCell ref="G30:H30"/>
    <mergeCell ref="G18:H18"/>
    <mergeCell ref="G19:H19"/>
    <mergeCell ref="G20:H20"/>
    <mergeCell ref="G21:H21"/>
    <mergeCell ref="B24:H24"/>
    <mergeCell ref="B12:C12"/>
    <mergeCell ref="D12:E12"/>
    <mergeCell ref="F12:G12"/>
    <mergeCell ref="B15:H15"/>
    <mergeCell ref="G17:H17"/>
    <mergeCell ref="B10:C10"/>
    <mergeCell ref="D10:E10"/>
    <mergeCell ref="F10:G10"/>
    <mergeCell ref="B11:C11"/>
    <mergeCell ref="D11:E11"/>
    <mergeCell ref="F11:G11"/>
    <mergeCell ref="B7:C7"/>
    <mergeCell ref="D7:E7"/>
    <mergeCell ref="F7:G7"/>
    <mergeCell ref="B8:C8"/>
    <mergeCell ref="D8:E8"/>
    <mergeCell ref="F8:G8"/>
    <mergeCell ref="B1:H1"/>
    <mergeCell ref="B5:H5"/>
    <mergeCell ref="B6:C6"/>
    <mergeCell ref="D6:E6"/>
    <mergeCell ref="F6:G6"/>
  </mergeCells>
  <conditionalFormatting sqref="D27:D32">
    <cfRule type="cellIs" dxfId="15" priority="5" operator="greaterThan">
      <formula>0</formula>
    </cfRule>
    <cfRule type="cellIs" dxfId="14" priority="6" operator="lessThan">
      <formula>0</formula>
    </cfRule>
  </conditionalFormatting>
  <conditionalFormatting sqref="F17:F21">
    <cfRule type="expression" dxfId="13" priority="2">
      <formula>ISNUMBER(SEARCH("Vert",F17))</formula>
    </cfRule>
    <cfRule type="expression" dxfId="12" priority="3">
      <formula>ISNUMBER(SEARCH("Ambre",F17))</formula>
    </cfRule>
    <cfRule type="expression" dxfId="11" priority="4">
      <formula>ISNUMBER(SEARCH("Rouge",F17))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0080"/>
  </sheetPr>
  <dimension ref="A1:S63"/>
  <sheetViews>
    <sheetView showGridLines="0" zoomScaleNormal="100" workbookViewId="0">
      <pane xSplit="5" ySplit="7" topLeftCell="I31" activePane="bottomRight" state="frozen"/>
      <selection pane="topRight" activeCell="F1" sqref="F1"/>
      <selection pane="bottomLeft" activeCell="A8" sqref="A8"/>
      <selection pane="bottomRight" activeCell="J52" sqref="J52"/>
    </sheetView>
  </sheetViews>
  <sheetFormatPr baseColWidth="10" defaultColWidth="8.7109375" defaultRowHeight="15" x14ac:dyDescent="0.25"/>
  <cols>
    <col min="1" max="1" width="4" customWidth="1"/>
    <col min="2" max="2" width="18" customWidth="1"/>
    <col min="3" max="3" width="22" customWidth="1"/>
    <col min="4" max="4" width="26" customWidth="1"/>
    <col min="5" max="5" width="12" customWidth="1"/>
    <col min="6" max="9" width="17" customWidth="1"/>
    <col min="10" max="10" width="20.140625" customWidth="1"/>
    <col min="11" max="17" width="17" customWidth="1"/>
    <col min="18" max="18" width="21.42578125" customWidth="1"/>
    <col min="19" max="19" width="13" customWidth="1"/>
    <col min="20" max="20" width="14" customWidth="1"/>
  </cols>
  <sheetData>
    <row r="1" spans="2:19" ht="36" customHeight="1" x14ac:dyDescent="0.25">
      <c r="B1" s="61" t="s">
        <v>163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3" spans="2:19" x14ac:dyDescent="0.25">
      <c r="B3" s="4" t="s">
        <v>164</v>
      </c>
    </row>
    <row r="4" spans="2:19" x14ac:dyDescent="0.25">
      <c r="B4" s="25" t="s">
        <v>165</v>
      </c>
    </row>
    <row r="6" spans="2:19" ht="15.75" x14ac:dyDescent="0.25">
      <c r="B6" s="59" t="s">
        <v>166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</row>
    <row r="7" spans="2:19" ht="31.5" customHeight="1" x14ac:dyDescent="0.25">
      <c r="B7" s="6" t="s">
        <v>167</v>
      </c>
      <c r="C7" s="6" t="s">
        <v>168</v>
      </c>
      <c r="D7" s="6" t="s">
        <v>169</v>
      </c>
      <c r="E7" s="6" t="s">
        <v>170</v>
      </c>
      <c r="F7" s="6" t="s">
        <v>171</v>
      </c>
      <c r="G7" s="6" t="s">
        <v>172</v>
      </c>
      <c r="H7" s="6" t="s">
        <v>173</v>
      </c>
      <c r="I7" s="6" t="s">
        <v>174</v>
      </c>
      <c r="J7" s="6" t="s">
        <v>175</v>
      </c>
      <c r="K7" s="6" t="s">
        <v>176</v>
      </c>
      <c r="L7" s="6" t="s">
        <v>177</v>
      </c>
      <c r="M7" s="6" t="s">
        <v>178</v>
      </c>
      <c r="N7" s="6" t="s">
        <v>179</v>
      </c>
      <c r="O7" s="6" t="s">
        <v>180</v>
      </c>
      <c r="P7" s="6" t="s">
        <v>181</v>
      </c>
      <c r="Q7" s="6" t="s">
        <v>182</v>
      </c>
      <c r="R7" s="6" t="s">
        <v>183</v>
      </c>
    </row>
    <row r="8" spans="2:19" x14ac:dyDescent="0.25">
      <c r="B8" s="3" t="s">
        <v>184</v>
      </c>
      <c r="C8" s="3" t="s">
        <v>185</v>
      </c>
      <c r="D8" s="3" t="s">
        <v>186</v>
      </c>
      <c r="E8" s="10" t="s">
        <v>187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272</v>
      </c>
      <c r="L8" s="16">
        <v>225</v>
      </c>
      <c r="M8" s="16">
        <v>171</v>
      </c>
      <c r="N8" s="16">
        <v>266</v>
      </c>
      <c r="O8" s="16">
        <v>267</v>
      </c>
      <c r="P8" s="16">
        <v>268</v>
      </c>
      <c r="Q8" s="16">
        <v>273</v>
      </c>
      <c r="R8" s="26">
        <f t="shared" ref="R8:R19" si="0">SUM(F8:Q8)</f>
        <v>1742</v>
      </c>
    </row>
    <row r="9" spans="2:19" x14ac:dyDescent="0.25">
      <c r="B9" s="3" t="s">
        <v>184</v>
      </c>
      <c r="C9" s="3" t="s">
        <v>185</v>
      </c>
      <c r="D9" s="3" t="s">
        <v>188</v>
      </c>
      <c r="E9" s="10" t="s">
        <v>187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194</v>
      </c>
      <c r="L9" s="16">
        <v>160</v>
      </c>
      <c r="M9" s="16">
        <v>122</v>
      </c>
      <c r="N9" s="16">
        <v>198</v>
      </c>
      <c r="O9" s="16">
        <v>205</v>
      </c>
      <c r="P9" s="16">
        <v>194</v>
      </c>
      <c r="Q9" s="16">
        <v>189</v>
      </c>
      <c r="R9" s="26">
        <f t="shared" si="0"/>
        <v>1262</v>
      </c>
    </row>
    <row r="10" spans="2:19" x14ac:dyDescent="0.25">
      <c r="B10" s="3" t="s">
        <v>184</v>
      </c>
      <c r="C10" s="3" t="s">
        <v>185</v>
      </c>
      <c r="D10" s="3" t="s">
        <v>189</v>
      </c>
      <c r="E10" s="10" t="s">
        <v>187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119</v>
      </c>
      <c r="M10" s="16">
        <v>97</v>
      </c>
      <c r="N10" s="16">
        <v>143</v>
      </c>
      <c r="O10" s="16">
        <v>157</v>
      </c>
      <c r="P10" s="16">
        <v>145</v>
      </c>
      <c r="Q10" s="16">
        <v>146</v>
      </c>
      <c r="R10" s="26">
        <f t="shared" si="0"/>
        <v>807</v>
      </c>
    </row>
    <row r="11" spans="2:19" x14ac:dyDescent="0.25">
      <c r="B11" s="3" t="s">
        <v>184</v>
      </c>
      <c r="C11" s="3" t="s">
        <v>190</v>
      </c>
      <c r="D11" s="3" t="s">
        <v>186</v>
      </c>
      <c r="E11" s="10" t="s">
        <v>187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211</v>
      </c>
      <c r="M11" s="16">
        <v>175</v>
      </c>
      <c r="N11" s="16">
        <v>256</v>
      </c>
      <c r="O11" s="16">
        <v>273</v>
      </c>
      <c r="P11" s="16">
        <v>264</v>
      </c>
      <c r="Q11" s="16">
        <v>267</v>
      </c>
      <c r="R11" s="26">
        <f t="shared" si="0"/>
        <v>1446</v>
      </c>
    </row>
    <row r="12" spans="2:19" x14ac:dyDescent="0.25">
      <c r="B12" s="3" t="s">
        <v>184</v>
      </c>
      <c r="C12" s="3" t="s">
        <v>190</v>
      </c>
      <c r="D12" s="3" t="s">
        <v>188</v>
      </c>
      <c r="E12" s="10" t="s">
        <v>187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158</v>
      </c>
      <c r="M12" s="16">
        <v>129</v>
      </c>
      <c r="N12" s="16">
        <v>186</v>
      </c>
      <c r="O12" s="16">
        <v>206</v>
      </c>
      <c r="P12" s="16">
        <v>191</v>
      </c>
      <c r="Q12" s="16">
        <v>193</v>
      </c>
      <c r="R12" s="26">
        <f t="shared" si="0"/>
        <v>1063</v>
      </c>
    </row>
    <row r="13" spans="2:19" x14ac:dyDescent="0.25">
      <c r="B13" s="3" t="s">
        <v>184</v>
      </c>
      <c r="C13" s="3" t="s">
        <v>190</v>
      </c>
      <c r="D13" s="3" t="s">
        <v>189</v>
      </c>
      <c r="E13" s="10" t="s">
        <v>187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147</v>
      </c>
      <c r="L13" s="16">
        <v>112</v>
      </c>
      <c r="M13" s="16">
        <v>91</v>
      </c>
      <c r="N13" s="16">
        <v>140</v>
      </c>
      <c r="O13" s="16">
        <v>146</v>
      </c>
      <c r="P13" s="16">
        <v>143</v>
      </c>
      <c r="Q13" s="16">
        <v>152</v>
      </c>
      <c r="R13" s="26">
        <f t="shared" si="0"/>
        <v>931</v>
      </c>
    </row>
    <row r="14" spans="2:19" x14ac:dyDescent="0.25">
      <c r="B14" s="3" t="s">
        <v>191</v>
      </c>
      <c r="C14" s="3" t="s">
        <v>192</v>
      </c>
      <c r="D14" s="3" t="s">
        <v>186</v>
      </c>
      <c r="E14" s="10" t="s">
        <v>193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267</v>
      </c>
      <c r="L14" s="16">
        <v>212</v>
      </c>
      <c r="M14" s="16">
        <v>174</v>
      </c>
      <c r="N14" s="16">
        <v>269</v>
      </c>
      <c r="O14" s="16">
        <v>274</v>
      </c>
      <c r="P14" s="16">
        <v>278</v>
      </c>
      <c r="Q14" s="16">
        <v>284</v>
      </c>
      <c r="R14" s="26">
        <f t="shared" si="0"/>
        <v>1758</v>
      </c>
    </row>
    <row r="15" spans="2:19" x14ac:dyDescent="0.25">
      <c r="B15" s="3" t="s">
        <v>191</v>
      </c>
      <c r="C15" s="3" t="s">
        <v>192</v>
      </c>
      <c r="D15" s="3" t="s">
        <v>188</v>
      </c>
      <c r="E15" s="10" t="s">
        <v>193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183</v>
      </c>
      <c r="L15" s="16">
        <v>149</v>
      </c>
      <c r="M15" s="16">
        <v>130</v>
      </c>
      <c r="N15" s="16">
        <v>197</v>
      </c>
      <c r="O15" s="16">
        <v>199</v>
      </c>
      <c r="P15" s="16">
        <v>189</v>
      </c>
      <c r="Q15" s="16">
        <v>193</v>
      </c>
      <c r="R15" s="26">
        <f t="shared" si="0"/>
        <v>1240</v>
      </c>
    </row>
    <row r="16" spans="2:19" x14ac:dyDescent="0.25">
      <c r="B16" s="3" t="s">
        <v>191</v>
      </c>
      <c r="C16" s="3" t="s">
        <v>192</v>
      </c>
      <c r="D16" s="3" t="s">
        <v>189</v>
      </c>
      <c r="E16" s="10" t="s">
        <v>193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146</v>
      </c>
      <c r="L16" s="16">
        <v>118</v>
      </c>
      <c r="M16" s="16">
        <v>96</v>
      </c>
      <c r="N16" s="16">
        <v>139</v>
      </c>
      <c r="O16" s="16">
        <v>152</v>
      </c>
      <c r="P16" s="16">
        <v>141</v>
      </c>
      <c r="Q16" s="16">
        <v>145</v>
      </c>
      <c r="R16" s="26">
        <f t="shared" si="0"/>
        <v>937</v>
      </c>
    </row>
    <row r="17" spans="2:18" x14ac:dyDescent="0.25">
      <c r="B17" s="3" t="s">
        <v>191</v>
      </c>
      <c r="C17" s="3" t="s">
        <v>194</v>
      </c>
      <c r="D17" s="3" t="s">
        <v>186</v>
      </c>
      <c r="E17" s="10" t="s">
        <v>187</v>
      </c>
      <c r="F17" s="16">
        <v>241</v>
      </c>
      <c r="G17" s="16">
        <v>0</v>
      </c>
      <c r="H17" s="16">
        <v>0</v>
      </c>
      <c r="I17" s="16">
        <v>0</v>
      </c>
      <c r="J17" s="16">
        <v>899999</v>
      </c>
      <c r="K17" s="16">
        <v>259</v>
      </c>
      <c r="L17" s="16">
        <v>226</v>
      </c>
      <c r="M17" s="16">
        <v>185</v>
      </c>
      <c r="N17" s="16">
        <v>262</v>
      </c>
      <c r="O17" s="16">
        <v>284</v>
      </c>
      <c r="P17" s="16">
        <v>278</v>
      </c>
      <c r="Q17" s="16">
        <v>263</v>
      </c>
      <c r="R17" s="26">
        <f t="shared" si="0"/>
        <v>901997</v>
      </c>
    </row>
    <row r="18" spans="2:18" x14ac:dyDescent="0.25">
      <c r="B18" s="3" t="s">
        <v>191</v>
      </c>
      <c r="C18" s="3" t="s">
        <v>194</v>
      </c>
      <c r="D18" s="3" t="s">
        <v>188</v>
      </c>
      <c r="E18" s="10" t="s">
        <v>187</v>
      </c>
      <c r="F18" s="16">
        <v>178</v>
      </c>
      <c r="G18" s="16">
        <v>0</v>
      </c>
      <c r="H18" s="16">
        <v>0</v>
      </c>
      <c r="I18" s="16">
        <v>0</v>
      </c>
      <c r="J18" s="16">
        <v>0</v>
      </c>
      <c r="K18" s="16">
        <v>189</v>
      </c>
      <c r="L18" s="16">
        <v>148</v>
      </c>
      <c r="M18" s="16">
        <v>133</v>
      </c>
      <c r="N18" s="16">
        <v>199</v>
      </c>
      <c r="O18" s="16">
        <v>208</v>
      </c>
      <c r="P18" s="16">
        <v>194</v>
      </c>
      <c r="Q18" s="16">
        <v>187</v>
      </c>
      <c r="R18" s="26">
        <f t="shared" si="0"/>
        <v>1436</v>
      </c>
    </row>
    <row r="19" spans="2:18" x14ac:dyDescent="0.25">
      <c r="B19" s="3" t="s">
        <v>191</v>
      </c>
      <c r="C19" s="3" t="s">
        <v>194</v>
      </c>
      <c r="D19" s="3" t="s">
        <v>189</v>
      </c>
      <c r="E19" s="10" t="s">
        <v>187</v>
      </c>
      <c r="F19" s="16">
        <v>134</v>
      </c>
      <c r="G19" s="16">
        <v>0</v>
      </c>
      <c r="H19" s="16">
        <v>0</v>
      </c>
      <c r="I19" s="16">
        <v>0</v>
      </c>
      <c r="J19" s="16">
        <v>0</v>
      </c>
      <c r="K19" s="16">
        <v>147</v>
      </c>
      <c r="L19" s="16">
        <v>119</v>
      </c>
      <c r="M19" s="16">
        <v>92</v>
      </c>
      <c r="N19" s="16">
        <v>142</v>
      </c>
      <c r="O19" s="16">
        <v>150</v>
      </c>
      <c r="P19" s="16">
        <v>143</v>
      </c>
      <c r="Q19" s="16">
        <v>151</v>
      </c>
      <c r="R19" s="26">
        <f t="shared" si="0"/>
        <v>1078</v>
      </c>
    </row>
    <row r="20" spans="2:18" x14ac:dyDescent="0.25">
      <c r="B20" s="58" t="s">
        <v>195</v>
      </c>
      <c r="C20" s="58"/>
      <c r="D20" s="58"/>
      <c r="E20" s="58"/>
      <c r="F20" s="27">
        <f t="shared" ref="F20:R20" si="1">SUM(F8:F19)</f>
        <v>553</v>
      </c>
      <c r="G20" s="27">
        <f t="shared" si="1"/>
        <v>0</v>
      </c>
      <c r="H20" s="27">
        <f t="shared" si="1"/>
        <v>0</v>
      </c>
      <c r="I20" s="27">
        <f t="shared" si="1"/>
        <v>0</v>
      </c>
      <c r="J20" s="27">
        <f t="shared" si="1"/>
        <v>899999</v>
      </c>
      <c r="K20" s="27">
        <f t="shared" si="1"/>
        <v>1804</v>
      </c>
      <c r="L20" s="27">
        <f t="shared" si="1"/>
        <v>1957</v>
      </c>
      <c r="M20" s="27">
        <f t="shared" si="1"/>
        <v>1595</v>
      </c>
      <c r="N20" s="27">
        <f t="shared" si="1"/>
        <v>2397</v>
      </c>
      <c r="O20" s="27">
        <f t="shared" si="1"/>
        <v>2521</v>
      </c>
      <c r="P20" s="27">
        <f t="shared" si="1"/>
        <v>2428</v>
      </c>
      <c r="Q20" s="27">
        <f t="shared" si="1"/>
        <v>2443</v>
      </c>
      <c r="R20" s="27">
        <f t="shared" si="1"/>
        <v>915697</v>
      </c>
    </row>
    <row r="23" spans="2:18" ht="15.75" x14ac:dyDescent="0.25">
      <c r="B23" s="59" t="s">
        <v>196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</row>
    <row r="24" spans="2:18" ht="31.5" customHeight="1" x14ac:dyDescent="0.25">
      <c r="B24" s="6" t="s">
        <v>167</v>
      </c>
      <c r="C24" s="6" t="s">
        <v>168</v>
      </c>
      <c r="D24" s="6" t="s">
        <v>169</v>
      </c>
      <c r="E24" s="6" t="s">
        <v>170</v>
      </c>
      <c r="F24" s="6" t="s">
        <v>171</v>
      </c>
      <c r="G24" s="6" t="s">
        <v>172</v>
      </c>
      <c r="H24" s="6" t="s">
        <v>173</v>
      </c>
      <c r="I24" s="6" t="s">
        <v>174</v>
      </c>
      <c r="J24" s="6" t="s">
        <v>175</v>
      </c>
      <c r="K24" s="6" t="s">
        <v>176</v>
      </c>
      <c r="L24" s="6" t="s">
        <v>177</v>
      </c>
      <c r="M24" s="6" t="s">
        <v>178</v>
      </c>
      <c r="N24" s="6" t="s">
        <v>179</v>
      </c>
      <c r="O24" s="6" t="s">
        <v>180</v>
      </c>
      <c r="P24" s="6" t="s">
        <v>181</v>
      </c>
      <c r="Q24" s="6" t="s">
        <v>182</v>
      </c>
      <c r="R24" s="6" t="s">
        <v>197</v>
      </c>
    </row>
    <row r="25" spans="2:18" x14ac:dyDescent="0.25">
      <c r="B25" s="3" t="s">
        <v>184</v>
      </c>
      <c r="C25" s="3" t="s">
        <v>185</v>
      </c>
      <c r="D25" s="3" t="s">
        <v>186</v>
      </c>
      <c r="E25" s="10" t="s">
        <v>187</v>
      </c>
      <c r="F25" s="15">
        <v>9800</v>
      </c>
      <c r="G25" s="15">
        <v>9820</v>
      </c>
      <c r="H25" s="15">
        <v>9841</v>
      </c>
      <c r="I25" s="15">
        <v>9861</v>
      </c>
      <c r="J25" s="15">
        <v>9882</v>
      </c>
      <c r="K25" s="15">
        <v>9902</v>
      </c>
      <c r="L25" s="15">
        <v>9922</v>
      </c>
      <c r="M25" s="15">
        <v>9943</v>
      </c>
      <c r="N25" s="15">
        <v>9963</v>
      </c>
      <c r="O25" s="15">
        <v>9984</v>
      </c>
      <c r="P25" s="15">
        <v>10004</v>
      </c>
      <c r="Q25" s="15">
        <v>10025</v>
      </c>
      <c r="R25" s="28">
        <f t="shared" ref="R25:R36" si="2">IFERROR(SUMPRODUCT(F25:Q25,F8:Q8)/SUM(F8:Q8),0)</f>
        <v>9965.4592422502865</v>
      </c>
    </row>
    <row r="26" spans="2:18" x14ac:dyDescent="0.25">
      <c r="B26" s="3" t="s">
        <v>184</v>
      </c>
      <c r="C26" s="3" t="s">
        <v>185</v>
      </c>
      <c r="D26" s="3" t="s">
        <v>188</v>
      </c>
      <c r="E26" s="10" t="s">
        <v>187</v>
      </c>
      <c r="F26" s="15">
        <v>11200</v>
      </c>
      <c r="G26" s="15">
        <v>11223</v>
      </c>
      <c r="H26" s="15">
        <v>11247</v>
      </c>
      <c r="I26" s="15">
        <v>11270</v>
      </c>
      <c r="J26" s="15">
        <v>11293</v>
      </c>
      <c r="K26" s="15">
        <v>11317</v>
      </c>
      <c r="L26" s="15">
        <v>11340</v>
      </c>
      <c r="M26" s="15">
        <v>11363</v>
      </c>
      <c r="N26" s="15">
        <v>11387</v>
      </c>
      <c r="O26" s="15">
        <v>11410</v>
      </c>
      <c r="P26" s="15">
        <v>11433</v>
      </c>
      <c r="Q26" s="15">
        <v>11457</v>
      </c>
      <c r="R26" s="28">
        <f t="shared" si="2"/>
        <v>11389.25118858954</v>
      </c>
    </row>
    <row r="27" spans="2:18" x14ac:dyDescent="0.25">
      <c r="B27" s="3" t="s">
        <v>184</v>
      </c>
      <c r="C27" s="3" t="s">
        <v>185</v>
      </c>
      <c r="D27" s="3" t="s">
        <v>189</v>
      </c>
      <c r="E27" s="10" t="s">
        <v>187</v>
      </c>
      <c r="F27" s="15">
        <v>13500</v>
      </c>
      <c r="G27" s="15">
        <v>13528</v>
      </c>
      <c r="H27" s="15">
        <v>13556</v>
      </c>
      <c r="I27" s="15">
        <v>13584</v>
      </c>
      <c r="J27" s="15">
        <v>13612</v>
      </c>
      <c r="K27" s="15">
        <v>13641</v>
      </c>
      <c r="L27" s="15">
        <v>13669</v>
      </c>
      <c r="M27" s="15">
        <v>13697</v>
      </c>
      <c r="N27" s="15">
        <v>13725</v>
      </c>
      <c r="O27" s="15">
        <v>13753</v>
      </c>
      <c r="P27" s="15">
        <v>13781</v>
      </c>
      <c r="Q27" s="15">
        <v>13809</v>
      </c>
      <c r="R27" s="28">
        <f t="shared" si="2"/>
        <v>13744.08302354399</v>
      </c>
    </row>
    <row r="28" spans="2:18" x14ac:dyDescent="0.25">
      <c r="B28" s="3" t="s">
        <v>184</v>
      </c>
      <c r="C28" s="3" t="s">
        <v>190</v>
      </c>
      <c r="D28" s="3" t="s">
        <v>186</v>
      </c>
      <c r="E28" s="10" t="s">
        <v>187</v>
      </c>
      <c r="F28" s="15">
        <v>9800</v>
      </c>
      <c r="G28" s="15">
        <v>9820</v>
      </c>
      <c r="H28" s="15">
        <v>9841</v>
      </c>
      <c r="I28" s="15">
        <v>9861</v>
      </c>
      <c r="J28" s="15">
        <v>9882</v>
      </c>
      <c r="K28" s="15">
        <v>9902</v>
      </c>
      <c r="L28" s="15">
        <v>9922</v>
      </c>
      <c r="M28" s="15">
        <v>9943</v>
      </c>
      <c r="N28" s="15">
        <v>9963</v>
      </c>
      <c r="O28" s="15">
        <v>9984</v>
      </c>
      <c r="P28" s="15">
        <v>10004</v>
      </c>
      <c r="Q28" s="15">
        <v>10025</v>
      </c>
      <c r="R28" s="28">
        <f t="shared" si="2"/>
        <v>9977.4951590594737</v>
      </c>
    </row>
    <row r="29" spans="2:18" x14ac:dyDescent="0.25">
      <c r="B29" s="3" t="s">
        <v>184</v>
      </c>
      <c r="C29" s="3" t="s">
        <v>190</v>
      </c>
      <c r="D29" s="3" t="s">
        <v>188</v>
      </c>
      <c r="E29" s="10" t="s">
        <v>187</v>
      </c>
      <c r="F29" s="15">
        <v>11200</v>
      </c>
      <c r="G29" s="15">
        <v>11223</v>
      </c>
      <c r="H29" s="15">
        <v>11247</v>
      </c>
      <c r="I29" s="15">
        <v>11270</v>
      </c>
      <c r="J29" s="15">
        <v>11293</v>
      </c>
      <c r="K29" s="15">
        <v>11317</v>
      </c>
      <c r="L29" s="15">
        <v>11340</v>
      </c>
      <c r="M29" s="15">
        <v>11363</v>
      </c>
      <c r="N29" s="15">
        <v>11387</v>
      </c>
      <c r="O29" s="15">
        <v>11410</v>
      </c>
      <c r="P29" s="15">
        <v>11433</v>
      </c>
      <c r="Q29" s="15">
        <v>11457</v>
      </c>
      <c r="R29" s="28">
        <f t="shared" si="2"/>
        <v>11402.533396048919</v>
      </c>
    </row>
    <row r="30" spans="2:18" x14ac:dyDescent="0.25">
      <c r="B30" s="3" t="s">
        <v>184</v>
      </c>
      <c r="C30" s="3" t="s">
        <v>190</v>
      </c>
      <c r="D30" s="3" t="s">
        <v>189</v>
      </c>
      <c r="E30" s="10" t="s">
        <v>187</v>
      </c>
      <c r="F30" s="15">
        <v>13500</v>
      </c>
      <c r="G30" s="15">
        <v>13528</v>
      </c>
      <c r="H30" s="15">
        <v>13556</v>
      </c>
      <c r="I30" s="15">
        <v>13584</v>
      </c>
      <c r="J30" s="15">
        <v>13612</v>
      </c>
      <c r="K30" s="15">
        <v>13641</v>
      </c>
      <c r="L30" s="15">
        <v>13669</v>
      </c>
      <c r="M30" s="15">
        <v>13697</v>
      </c>
      <c r="N30" s="15">
        <v>13725</v>
      </c>
      <c r="O30" s="15">
        <v>13753</v>
      </c>
      <c r="P30" s="15">
        <v>13781</v>
      </c>
      <c r="Q30" s="15">
        <v>13809</v>
      </c>
      <c r="R30" s="28">
        <f t="shared" si="2"/>
        <v>13728.969924812031</v>
      </c>
    </row>
    <row r="31" spans="2:18" x14ac:dyDescent="0.25">
      <c r="B31" s="3" t="s">
        <v>191</v>
      </c>
      <c r="C31" s="3" t="s">
        <v>192</v>
      </c>
      <c r="D31" s="3" t="s">
        <v>186</v>
      </c>
      <c r="E31" s="10" t="s">
        <v>193</v>
      </c>
      <c r="F31" s="15">
        <v>9800</v>
      </c>
      <c r="G31" s="15">
        <v>9820</v>
      </c>
      <c r="H31" s="15">
        <v>9841</v>
      </c>
      <c r="I31" s="15">
        <v>9861</v>
      </c>
      <c r="J31" s="15">
        <v>9882</v>
      </c>
      <c r="K31" s="15">
        <v>9902</v>
      </c>
      <c r="L31" s="15">
        <v>9922</v>
      </c>
      <c r="M31" s="15">
        <v>9943</v>
      </c>
      <c r="N31" s="15">
        <v>9963</v>
      </c>
      <c r="O31" s="15">
        <v>9984</v>
      </c>
      <c r="P31" s="15">
        <v>10004</v>
      </c>
      <c r="Q31" s="15">
        <v>10025</v>
      </c>
      <c r="R31" s="28">
        <f t="shared" si="2"/>
        <v>9966.5841865756538</v>
      </c>
    </row>
    <row r="32" spans="2:18" x14ac:dyDescent="0.25">
      <c r="B32" s="3" t="s">
        <v>191</v>
      </c>
      <c r="C32" s="3" t="s">
        <v>192</v>
      </c>
      <c r="D32" s="3" t="s">
        <v>188</v>
      </c>
      <c r="E32" s="10" t="s">
        <v>193</v>
      </c>
      <c r="F32" s="15">
        <v>11200</v>
      </c>
      <c r="G32" s="15">
        <v>11223</v>
      </c>
      <c r="H32" s="15">
        <v>11247</v>
      </c>
      <c r="I32" s="15">
        <v>11270</v>
      </c>
      <c r="J32" s="15">
        <v>11293</v>
      </c>
      <c r="K32" s="15">
        <v>11317</v>
      </c>
      <c r="L32" s="15">
        <v>11340</v>
      </c>
      <c r="M32" s="15">
        <v>11363</v>
      </c>
      <c r="N32" s="15">
        <v>11387</v>
      </c>
      <c r="O32" s="15">
        <v>11410</v>
      </c>
      <c r="P32" s="15">
        <v>11433</v>
      </c>
      <c r="Q32" s="15">
        <v>11457</v>
      </c>
      <c r="R32" s="28">
        <f t="shared" si="2"/>
        <v>11390.103225806452</v>
      </c>
    </row>
    <row r="33" spans="2:18" x14ac:dyDescent="0.25">
      <c r="B33" s="3" t="s">
        <v>191</v>
      </c>
      <c r="C33" s="3" t="s">
        <v>192</v>
      </c>
      <c r="D33" s="3" t="s">
        <v>189</v>
      </c>
      <c r="E33" s="10" t="s">
        <v>193</v>
      </c>
      <c r="F33" s="15">
        <v>13500</v>
      </c>
      <c r="G33" s="15">
        <v>13528</v>
      </c>
      <c r="H33" s="15">
        <v>13556</v>
      </c>
      <c r="I33" s="15">
        <v>13584</v>
      </c>
      <c r="J33" s="15">
        <v>13612</v>
      </c>
      <c r="K33" s="15">
        <v>13641</v>
      </c>
      <c r="L33" s="15">
        <v>13669</v>
      </c>
      <c r="M33" s="15">
        <v>13697</v>
      </c>
      <c r="N33" s="15">
        <v>13725</v>
      </c>
      <c r="O33" s="15">
        <v>13753</v>
      </c>
      <c r="P33" s="15">
        <v>13781</v>
      </c>
      <c r="Q33" s="15">
        <v>13809</v>
      </c>
      <c r="R33" s="28">
        <f t="shared" si="2"/>
        <v>13727.958377801495</v>
      </c>
    </row>
    <row r="34" spans="2:18" x14ac:dyDescent="0.25">
      <c r="B34" s="3" t="s">
        <v>191</v>
      </c>
      <c r="C34" s="3" t="s">
        <v>194</v>
      </c>
      <c r="D34" s="3" t="s">
        <v>186</v>
      </c>
      <c r="E34" s="10" t="s">
        <v>187</v>
      </c>
      <c r="F34" s="15">
        <v>9800</v>
      </c>
      <c r="G34" s="15">
        <v>9820</v>
      </c>
      <c r="H34" s="15">
        <v>9841</v>
      </c>
      <c r="I34" s="15">
        <v>9861</v>
      </c>
      <c r="J34" s="15">
        <v>9882</v>
      </c>
      <c r="K34" s="15">
        <v>9902</v>
      </c>
      <c r="L34" s="15">
        <v>9922</v>
      </c>
      <c r="M34" s="15">
        <v>9943</v>
      </c>
      <c r="N34" s="15">
        <v>9963</v>
      </c>
      <c r="O34" s="15">
        <v>9984</v>
      </c>
      <c r="P34" s="15">
        <v>10004</v>
      </c>
      <c r="Q34" s="15">
        <v>10025</v>
      </c>
      <c r="R34" s="28">
        <f t="shared" si="2"/>
        <v>9882.1413064566732</v>
      </c>
    </row>
    <row r="35" spans="2:18" x14ac:dyDescent="0.25">
      <c r="B35" s="3" t="s">
        <v>191</v>
      </c>
      <c r="C35" s="3" t="s">
        <v>194</v>
      </c>
      <c r="D35" s="3" t="s">
        <v>188</v>
      </c>
      <c r="E35" s="10" t="s">
        <v>187</v>
      </c>
      <c r="F35" s="15">
        <v>11200</v>
      </c>
      <c r="G35" s="15">
        <v>11223</v>
      </c>
      <c r="H35" s="15">
        <v>11247</v>
      </c>
      <c r="I35" s="15">
        <v>11270</v>
      </c>
      <c r="J35" s="15">
        <v>11293</v>
      </c>
      <c r="K35" s="15">
        <v>11317</v>
      </c>
      <c r="L35" s="15">
        <v>11340</v>
      </c>
      <c r="M35" s="15">
        <v>11363</v>
      </c>
      <c r="N35" s="15">
        <v>11387</v>
      </c>
      <c r="O35" s="15">
        <v>11410</v>
      </c>
      <c r="P35" s="15">
        <v>11433</v>
      </c>
      <c r="Q35" s="15">
        <v>11457</v>
      </c>
      <c r="R35" s="28">
        <f t="shared" si="2"/>
        <v>11366.201949860724</v>
      </c>
    </row>
    <row r="36" spans="2:18" x14ac:dyDescent="0.25">
      <c r="B36" s="3" t="s">
        <v>191</v>
      </c>
      <c r="C36" s="3" t="s">
        <v>194</v>
      </c>
      <c r="D36" s="3" t="s">
        <v>189</v>
      </c>
      <c r="E36" s="10" t="s">
        <v>187</v>
      </c>
      <c r="F36" s="15">
        <v>13500</v>
      </c>
      <c r="G36" s="15">
        <v>13528</v>
      </c>
      <c r="H36" s="15">
        <v>13556</v>
      </c>
      <c r="I36" s="15">
        <v>13584</v>
      </c>
      <c r="J36" s="15">
        <v>13612</v>
      </c>
      <c r="K36" s="15">
        <v>13641</v>
      </c>
      <c r="L36" s="15">
        <v>13669</v>
      </c>
      <c r="M36" s="15">
        <v>13697</v>
      </c>
      <c r="N36" s="15">
        <v>13725</v>
      </c>
      <c r="O36" s="15">
        <v>13753</v>
      </c>
      <c r="P36" s="15">
        <v>13781</v>
      </c>
      <c r="Q36" s="15">
        <v>13809</v>
      </c>
      <c r="R36" s="28">
        <f t="shared" si="2"/>
        <v>13700.096474953618</v>
      </c>
    </row>
    <row r="39" spans="2:18" ht="15.75" x14ac:dyDescent="0.25">
      <c r="B39" s="59" t="s">
        <v>198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2:18" ht="31.5" customHeight="1" x14ac:dyDescent="0.25">
      <c r="B40" s="6" t="s">
        <v>167</v>
      </c>
      <c r="C40" s="6" t="s">
        <v>168</v>
      </c>
      <c r="D40" s="6" t="s">
        <v>169</v>
      </c>
      <c r="E40" s="6" t="s">
        <v>170</v>
      </c>
      <c r="F40" s="6" t="s">
        <v>171</v>
      </c>
      <c r="G40" s="6" t="s">
        <v>172</v>
      </c>
      <c r="H40" s="6" t="s">
        <v>173</v>
      </c>
      <c r="I40" s="6" t="s">
        <v>174</v>
      </c>
      <c r="J40" s="6" t="s">
        <v>175</v>
      </c>
      <c r="K40" s="6" t="s">
        <v>176</v>
      </c>
      <c r="L40" s="6" t="s">
        <v>177</v>
      </c>
      <c r="M40" s="6" t="s">
        <v>178</v>
      </c>
      <c r="N40" s="6" t="s">
        <v>179</v>
      </c>
      <c r="O40" s="6" t="s">
        <v>180</v>
      </c>
      <c r="P40" s="6" t="s">
        <v>181</v>
      </c>
      <c r="Q40" s="6" t="s">
        <v>182</v>
      </c>
      <c r="R40" s="6" t="s">
        <v>199</v>
      </c>
    </row>
    <row r="41" spans="2:18" x14ac:dyDescent="0.25">
      <c r="B41" s="3" t="s">
        <v>184</v>
      </c>
      <c r="C41" s="3" t="s">
        <v>185</v>
      </c>
      <c r="D41" s="3" t="s">
        <v>186</v>
      </c>
      <c r="E41" s="10" t="s">
        <v>187</v>
      </c>
      <c r="F41" s="24">
        <f t="shared" ref="F41:Q41" si="3">IFERROR(F8*F25,0)</f>
        <v>0</v>
      </c>
      <c r="G41" s="24">
        <f t="shared" si="3"/>
        <v>0</v>
      </c>
      <c r="H41" s="24">
        <f t="shared" si="3"/>
        <v>0</v>
      </c>
      <c r="I41" s="24">
        <f t="shared" si="3"/>
        <v>0</v>
      </c>
      <c r="J41" s="24">
        <f t="shared" si="3"/>
        <v>0</v>
      </c>
      <c r="K41" s="24">
        <f t="shared" si="3"/>
        <v>2693344</v>
      </c>
      <c r="L41" s="24">
        <f t="shared" si="3"/>
        <v>2232450</v>
      </c>
      <c r="M41" s="24">
        <f t="shared" si="3"/>
        <v>1700253</v>
      </c>
      <c r="N41" s="24">
        <f t="shared" si="3"/>
        <v>2650158</v>
      </c>
      <c r="O41" s="24">
        <f t="shared" si="3"/>
        <v>2665728</v>
      </c>
      <c r="P41" s="24">
        <f t="shared" si="3"/>
        <v>2681072</v>
      </c>
      <c r="Q41" s="24">
        <f t="shared" si="3"/>
        <v>2736825</v>
      </c>
      <c r="R41" s="28">
        <f t="shared" ref="R41:R52" si="4">SUM(F41:Q41)</f>
        <v>17359830</v>
      </c>
    </row>
    <row r="42" spans="2:18" x14ac:dyDescent="0.25">
      <c r="B42" s="3" t="s">
        <v>184</v>
      </c>
      <c r="C42" s="3" t="s">
        <v>185</v>
      </c>
      <c r="D42" s="3" t="s">
        <v>188</v>
      </c>
      <c r="E42" s="10" t="s">
        <v>187</v>
      </c>
      <c r="F42" s="24">
        <f t="shared" ref="F42:Q42" si="5">IFERROR(F9*F26,0)</f>
        <v>0</v>
      </c>
      <c r="G42" s="24">
        <f t="shared" si="5"/>
        <v>0</v>
      </c>
      <c r="H42" s="24">
        <f t="shared" si="5"/>
        <v>0</v>
      </c>
      <c r="I42" s="24">
        <f t="shared" si="5"/>
        <v>0</v>
      </c>
      <c r="J42" s="24">
        <f t="shared" si="5"/>
        <v>0</v>
      </c>
      <c r="K42" s="24">
        <f t="shared" si="5"/>
        <v>2195498</v>
      </c>
      <c r="L42" s="24">
        <f t="shared" si="5"/>
        <v>1814400</v>
      </c>
      <c r="M42" s="24">
        <f t="shared" si="5"/>
        <v>1386286</v>
      </c>
      <c r="N42" s="24">
        <f t="shared" si="5"/>
        <v>2254626</v>
      </c>
      <c r="O42" s="24">
        <f t="shared" si="5"/>
        <v>2339050</v>
      </c>
      <c r="P42" s="24">
        <f t="shared" si="5"/>
        <v>2218002</v>
      </c>
      <c r="Q42" s="24">
        <f t="shared" si="5"/>
        <v>2165373</v>
      </c>
      <c r="R42" s="28">
        <f t="shared" si="4"/>
        <v>14373235</v>
      </c>
    </row>
    <row r="43" spans="2:18" x14ac:dyDescent="0.25">
      <c r="B43" s="3" t="s">
        <v>184</v>
      </c>
      <c r="C43" s="3" t="s">
        <v>185</v>
      </c>
      <c r="D43" s="3" t="s">
        <v>189</v>
      </c>
      <c r="E43" s="10" t="s">
        <v>187</v>
      </c>
      <c r="F43" s="24">
        <f t="shared" ref="F43:Q43" si="6">IFERROR(F10*F27,0)</f>
        <v>0</v>
      </c>
      <c r="G43" s="24">
        <f t="shared" si="6"/>
        <v>0</v>
      </c>
      <c r="H43" s="24">
        <f t="shared" si="6"/>
        <v>0</v>
      </c>
      <c r="I43" s="24">
        <f t="shared" si="6"/>
        <v>0</v>
      </c>
      <c r="J43" s="24">
        <f t="shared" si="6"/>
        <v>0</v>
      </c>
      <c r="K43" s="24">
        <f t="shared" si="6"/>
        <v>0</v>
      </c>
      <c r="L43" s="24">
        <f t="shared" si="6"/>
        <v>1626611</v>
      </c>
      <c r="M43" s="24">
        <f t="shared" si="6"/>
        <v>1328609</v>
      </c>
      <c r="N43" s="24">
        <f t="shared" si="6"/>
        <v>1962675</v>
      </c>
      <c r="O43" s="24">
        <f t="shared" si="6"/>
        <v>2159221</v>
      </c>
      <c r="P43" s="24">
        <f t="shared" si="6"/>
        <v>1998245</v>
      </c>
      <c r="Q43" s="24">
        <f t="shared" si="6"/>
        <v>2016114</v>
      </c>
      <c r="R43" s="28">
        <f t="shared" si="4"/>
        <v>11091475</v>
      </c>
    </row>
    <row r="44" spans="2:18" x14ac:dyDescent="0.25">
      <c r="B44" s="3" t="s">
        <v>184</v>
      </c>
      <c r="C44" s="3" t="s">
        <v>190</v>
      </c>
      <c r="D44" s="3" t="s">
        <v>186</v>
      </c>
      <c r="E44" s="10" t="s">
        <v>187</v>
      </c>
      <c r="F44" s="24">
        <f t="shared" ref="F44:Q44" si="7">IFERROR(F11*F28,0)</f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2093542</v>
      </c>
      <c r="M44" s="24">
        <f t="shared" si="7"/>
        <v>1740025</v>
      </c>
      <c r="N44" s="24">
        <f t="shared" si="7"/>
        <v>2550528</v>
      </c>
      <c r="O44" s="24">
        <f t="shared" si="7"/>
        <v>2725632</v>
      </c>
      <c r="P44" s="24">
        <f t="shared" si="7"/>
        <v>2641056</v>
      </c>
      <c r="Q44" s="24">
        <f t="shared" si="7"/>
        <v>2676675</v>
      </c>
      <c r="R44" s="28">
        <f t="shared" si="4"/>
        <v>14427458</v>
      </c>
    </row>
    <row r="45" spans="2:18" x14ac:dyDescent="0.25">
      <c r="B45" s="3" t="s">
        <v>184</v>
      </c>
      <c r="C45" s="3" t="s">
        <v>190</v>
      </c>
      <c r="D45" s="3" t="s">
        <v>188</v>
      </c>
      <c r="E45" s="10" t="s">
        <v>187</v>
      </c>
      <c r="F45" s="24">
        <f t="shared" ref="F45:Q45" si="8">IFERROR(F12*F29,0)</f>
        <v>0</v>
      </c>
      <c r="G45" s="24">
        <f t="shared" si="8"/>
        <v>0</v>
      </c>
      <c r="H45" s="24">
        <f t="shared" si="8"/>
        <v>0</v>
      </c>
      <c r="I45" s="24">
        <f t="shared" si="8"/>
        <v>0</v>
      </c>
      <c r="J45" s="24">
        <f t="shared" si="8"/>
        <v>0</v>
      </c>
      <c r="K45" s="24">
        <f t="shared" si="8"/>
        <v>0</v>
      </c>
      <c r="L45" s="24">
        <f t="shared" si="8"/>
        <v>1791720</v>
      </c>
      <c r="M45" s="24">
        <f t="shared" si="8"/>
        <v>1465827</v>
      </c>
      <c r="N45" s="24">
        <f t="shared" si="8"/>
        <v>2117982</v>
      </c>
      <c r="O45" s="24">
        <f t="shared" si="8"/>
        <v>2350460</v>
      </c>
      <c r="P45" s="24">
        <f t="shared" si="8"/>
        <v>2183703</v>
      </c>
      <c r="Q45" s="24">
        <f t="shared" si="8"/>
        <v>2211201</v>
      </c>
      <c r="R45" s="28">
        <f t="shared" si="4"/>
        <v>12120893</v>
      </c>
    </row>
    <row r="46" spans="2:18" x14ac:dyDescent="0.25">
      <c r="B46" s="3" t="s">
        <v>184</v>
      </c>
      <c r="C46" s="3" t="s">
        <v>190</v>
      </c>
      <c r="D46" s="3" t="s">
        <v>189</v>
      </c>
      <c r="E46" s="10" t="s">
        <v>187</v>
      </c>
      <c r="F46" s="24">
        <f t="shared" ref="F46:Q46" si="9">IFERROR(F13*F30,0)</f>
        <v>0</v>
      </c>
      <c r="G46" s="24">
        <f t="shared" si="9"/>
        <v>0</v>
      </c>
      <c r="H46" s="24">
        <f t="shared" si="9"/>
        <v>0</v>
      </c>
      <c r="I46" s="24">
        <f t="shared" si="9"/>
        <v>0</v>
      </c>
      <c r="J46" s="24">
        <f t="shared" si="9"/>
        <v>0</v>
      </c>
      <c r="K46" s="24">
        <f t="shared" si="9"/>
        <v>2005227</v>
      </c>
      <c r="L46" s="24">
        <f t="shared" si="9"/>
        <v>1530928</v>
      </c>
      <c r="M46" s="24">
        <f t="shared" si="9"/>
        <v>1246427</v>
      </c>
      <c r="N46" s="24">
        <f t="shared" si="9"/>
        <v>1921500</v>
      </c>
      <c r="O46" s="24">
        <f t="shared" si="9"/>
        <v>2007938</v>
      </c>
      <c r="P46" s="24">
        <f t="shared" si="9"/>
        <v>1970683</v>
      </c>
      <c r="Q46" s="24">
        <f t="shared" si="9"/>
        <v>2098968</v>
      </c>
      <c r="R46" s="28">
        <f t="shared" si="4"/>
        <v>12781671</v>
      </c>
    </row>
    <row r="47" spans="2:18" x14ac:dyDescent="0.25">
      <c r="B47" s="3" t="s">
        <v>191</v>
      </c>
      <c r="C47" s="3" t="s">
        <v>192</v>
      </c>
      <c r="D47" s="3" t="s">
        <v>186</v>
      </c>
      <c r="E47" s="10" t="s">
        <v>193</v>
      </c>
      <c r="F47" s="24">
        <f t="shared" ref="F47:Q47" si="10">IFERROR(F14*F31,0)</f>
        <v>0</v>
      </c>
      <c r="G47" s="24">
        <f t="shared" si="10"/>
        <v>0</v>
      </c>
      <c r="H47" s="24">
        <f t="shared" si="10"/>
        <v>0</v>
      </c>
      <c r="I47" s="24">
        <f t="shared" si="10"/>
        <v>0</v>
      </c>
      <c r="J47" s="24">
        <f t="shared" si="10"/>
        <v>0</v>
      </c>
      <c r="K47" s="24">
        <f t="shared" si="10"/>
        <v>2643834</v>
      </c>
      <c r="L47" s="24">
        <f t="shared" si="10"/>
        <v>2103464</v>
      </c>
      <c r="M47" s="24">
        <f t="shared" si="10"/>
        <v>1730082</v>
      </c>
      <c r="N47" s="24">
        <f t="shared" si="10"/>
        <v>2680047</v>
      </c>
      <c r="O47" s="24">
        <f t="shared" si="10"/>
        <v>2735616</v>
      </c>
      <c r="P47" s="24">
        <f t="shared" si="10"/>
        <v>2781112</v>
      </c>
      <c r="Q47" s="24">
        <f t="shared" si="10"/>
        <v>2847100</v>
      </c>
      <c r="R47" s="28">
        <f t="shared" si="4"/>
        <v>17521255</v>
      </c>
    </row>
    <row r="48" spans="2:18" x14ac:dyDescent="0.25">
      <c r="B48" s="3" t="s">
        <v>191</v>
      </c>
      <c r="C48" s="3" t="s">
        <v>192</v>
      </c>
      <c r="D48" s="3" t="s">
        <v>188</v>
      </c>
      <c r="E48" s="10" t="s">
        <v>193</v>
      </c>
      <c r="F48" s="24">
        <f t="shared" ref="F48:Q48" si="11">IFERROR(F15*F32,0)</f>
        <v>0</v>
      </c>
      <c r="G48" s="24">
        <f t="shared" si="11"/>
        <v>0</v>
      </c>
      <c r="H48" s="24">
        <f t="shared" si="11"/>
        <v>0</v>
      </c>
      <c r="I48" s="24">
        <f t="shared" si="11"/>
        <v>0</v>
      </c>
      <c r="J48" s="24">
        <f t="shared" si="11"/>
        <v>0</v>
      </c>
      <c r="K48" s="24">
        <f t="shared" si="11"/>
        <v>2071011</v>
      </c>
      <c r="L48" s="24">
        <f t="shared" si="11"/>
        <v>1689660</v>
      </c>
      <c r="M48" s="24">
        <f t="shared" si="11"/>
        <v>1477190</v>
      </c>
      <c r="N48" s="24">
        <f t="shared" si="11"/>
        <v>2243239</v>
      </c>
      <c r="O48" s="24">
        <f t="shared" si="11"/>
        <v>2270590</v>
      </c>
      <c r="P48" s="24">
        <f t="shared" si="11"/>
        <v>2160837</v>
      </c>
      <c r="Q48" s="24">
        <f t="shared" si="11"/>
        <v>2211201</v>
      </c>
      <c r="R48" s="28">
        <f t="shared" si="4"/>
        <v>14123728</v>
      </c>
    </row>
    <row r="49" spans="1:18" x14ac:dyDescent="0.25">
      <c r="B49" s="3" t="s">
        <v>191</v>
      </c>
      <c r="C49" s="3" t="s">
        <v>192</v>
      </c>
      <c r="D49" s="3" t="s">
        <v>189</v>
      </c>
      <c r="E49" s="10" t="s">
        <v>193</v>
      </c>
      <c r="F49" s="24">
        <f t="shared" ref="F49:Q49" si="12">IFERROR(F16*F33,0)</f>
        <v>0</v>
      </c>
      <c r="G49" s="24">
        <f t="shared" si="12"/>
        <v>0</v>
      </c>
      <c r="H49" s="24">
        <f t="shared" si="12"/>
        <v>0</v>
      </c>
      <c r="I49" s="24">
        <f t="shared" si="12"/>
        <v>0</v>
      </c>
      <c r="J49" s="24">
        <f t="shared" si="12"/>
        <v>0</v>
      </c>
      <c r="K49" s="24">
        <f t="shared" si="12"/>
        <v>1991586</v>
      </c>
      <c r="L49" s="24">
        <f t="shared" si="12"/>
        <v>1612942</v>
      </c>
      <c r="M49" s="24">
        <f t="shared" si="12"/>
        <v>1314912</v>
      </c>
      <c r="N49" s="24">
        <f t="shared" si="12"/>
        <v>1907775</v>
      </c>
      <c r="O49" s="24">
        <f t="shared" si="12"/>
        <v>2090456</v>
      </c>
      <c r="P49" s="24">
        <f t="shared" si="12"/>
        <v>1943121</v>
      </c>
      <c r="Q49" s="24">
        <f t="shared" si="12"/>
        <v>2002305</v>
      </c>
      <c r="R49" s="28">
        <f t="shared" si="4"/>
        <v>12863097</v>
      </c>
    </row>
    <row r="50" spans="1:18" x14ac:dyDescent="0.25">
      <c r="B50" s="3" t="s">
        <v>191</v>
      </c>
      <c r="C50" s="3" t="s">
        <v>194</v>
      </c>
      <c r="D50" s="3" t="s">
        <v>186</v>
      </c>
      <c r="E50" s="10" t="s">
        <v>187</v>
      </c>
      <c r="F50" s="24">
        <f t="shared" ref="F50:Q50" si="13">IFERROR(F17*F34,0)</f>
        <v>2361800</v>
      </c>
      <c r="G50" s="24">
        <f t="shared" si="13"/>
        <v>0</v>
      </c>
      <c r="H50" s="24">
        <f t="shared" si="13"/>
        <v>0</v>
      </c>
      <c r="I50" s="24">
        <f t="shared" si="13"/>
        <v>0</v>
      </c>
      <c r="J50" s="24">
        <v>0</v>
      </c>
      <c r="K50" s="24">
        <f t="shared" si="13"/>
        <v>2564618</v>
      </c>
      <c r="L50" s="24">
        <f t="shared" si="13"/>
        <v>2242372</v>
      </c>
      <c r="M50" s="24">
        <f t="shared" si="13"/>
        <v>1839455</v>
      </c>
      <c r="N50" s="24">
        <f t="shared" si="13"/>
        <v>2610306</v>
      </c>
      <c r="O50" s="24">
        <f t="shared" si="13"/>
        <v>2835456</v>
      </c>
      <c r="P50" s="24">
        <f t="shared" si="13"/>
        <v>2781112</v>
      </c>
      <c r="Q50" s="24">
        <f t="shared" si="13"/>
        <v>2636575</v>
      </c>
      <c r="R50" s="28">
        <f t="shared" si="4"/>
        <v>19871694</v>
      </c>
    </row>
    <row r="51" spans="1:18" x14ac:dyDescent="0.25">
      <c r="B51" s="3" t="s">
        <v>191</v>
      </c>
      <c r="C51" s="3" t="s">
        <v>194</v>
      </c>
      <c r="D51" s="3" t="s">
        <v>188</v>
      </c>
      <c r="E51" s="10" t="s">
        <v>187</v>
      </c>
      <c r="F51" s="24">
        <f t="shared" ref="F51:Q51" si="14">IFERROR(F18*F35,0)</f>
        <v>1993600</v>
      </c>
      <c r="G51" s="24">
        <f t="shared" si="14"/>
        <v>0</v>
      </c>
      <c r="H51" s="24">
        <f t="shared" si="14"/>
        <v>0</v>
      </c>
      <c r="I51" s="24">
        <f t="shared" si="14"/>
        <v>0</v>
      </c>
      <c r="J51" s="24">
        <v>666666</v>
      </c>
      <c r="K51" s="24">
        <f t="shared" si="14"/>
        <v>2138913</v>
      </c>
      <c r="L51" s="24">
        <f t="shared" si="14"/>
        <v>1678320</v>
      </c>
      <c r="M51" s="24">
        <f t="shared" si="14"/>
        <v>1511279</v>
      </c>
      <c r="N51" s="24">
        <f t="shared" si="14"/>
        <v>2266013</v>
      </c>
      <c r="O51" s="24">
        <f t="shared" si="14"/>
        <v>2373280</v>
      </c>
      <c r="P51" s="24">
        <f t="shared" si="14"/>
        <v>2218002</v>
      </c>
      <c r="Q51" s="24">
        <f t="shared" si="14"/>
        <v>2142459</v>
      </c>
      <c r="R51" s="28">
        <f t="shared" si="4"/>
        <v>16988532</v>
      </c>
    </row>
    <row r="52" spans="1:18" x14ac:dyDescent="0.25">
      <c r="B52" s="3" t="s">
        <v>191</v>
      </c>
      <c r="C52" s="3" t="s">
        <v>194</v>
      </c>
      <c r="D52" s="3" t="s">
        <v>189</v>
      </c>
      <c r="E52" s="10" t="s">
        <v>187</v>
      </c>
      <c r="F52" s="24">
        <f t="shared" ref="F52:Q52" si="15">IFERROR(F19*F36,0)</f>
        <v>1809000</v>
      </c>
      <c r="G52" s="24">
        <f t="shared" si="15"/>
        <v>0</v>
      </c>
      <c r="H52" s="24">
        <f t="shared" si="15"/>
        <v>0</v>
      </c>
      <c r="I52" s="24">
        <f t="shared" si="15"/>
        <v>0</v>
      </c>
      <c r="J52" s="24">
        <f t="shared" si="15"/>
        <v>0</v>
      </c>
      <c r="K52" s="24">
        <f t="shared" si="15"/>
        <v>2005227</v>
      </c>
      <c r="L52" s="24">
        <f t="shared" si="15"/>
        <v>1626611</v>
      </c>
      <c r="M52" s="24">
        <f t="shared" si="15"/>
        <v>1260124</v>
      </c>
      <c r="N52" s="24">
        <f t="shared" si="15"/>
        <v>1948950</v>
      </c>
      <c r="O52" s="24">
        <f t="shared" si="15"/>
        <v>2062950</v>
      </c>
      <c r="P52" s="24">
        <f t="shared" si="15"/>
        <v>1970683</v>
      </c>
      <c r="Q52" s="24">
        <f t="shared" si="15"/>
        <v>2085159</v>
      </c>
      <c r="R52" s="28">
        <f t="shared" si="4"/>
        <v>14768704</v>
      </c>
    </row>
    <row r="53" spans="1:18" x14ac:dyDescent="0.25">
      <c r="B53" s="58" t="s">
        <v>200</v>
      </c>
      <c r="C53" s="58"/>
      <c r="D53" s="58"/>
      <c r="E53" s="58"/>
      <c r="F53" s="29">
        <f t="shared" ref="F53:R53" si="16">SUM(F41:F52)</f>
        <v>6164400</v>
      </c>
      <c r="G53" s="29">
        <f t="shared" si="16"/>
        <v>0</v>
      </c>
      <c r="H53" s="29">
        <f t="shared" si="16"/>
        <v>0</v>
      </c>
      <c r="I53" s="29">
        <f t="shared" si="16"/>
        <v>0</v>
      </c>
      <c r="J53" s="29">
        <f t="shared" si="16"/>
        <v>666666</v>
      </c>
      <c r="K53" s="29">
        <f t="shared" si="16"/>
        <v>20309258</v>
      </c>
      <c r="L53" s="29">
        <f t="shared" si="16"/>
        <v>22043020</v>
      </c>
      <c r="M53" s="29">
        <f t="shared" si="16"/>
        <v>18000469</v>
      </c>
      <c r="N53" s="29">
        <f t="shared" si="16"/>
        <v>27113799</v>
      </c>
      <c r="O53" s="29">
        <f t="shared" si="16"/>
        <v>28616377</v>
      </c>
      <c r="P53" s="29">
        <f t="shared" si="16"/>
        <v>27547628</v>
      </c>
      <c r="Q53" s="29">
        <f t="shared" si="16"/>
        <v>27829955</v>
      </c>
      <c r="R53" s="29">
        <f t="shared" si="16"/>
        <v>178291572</v>
      </c>
    </row>
    <row r="56" spans="1:18" ht="15.75" x14ac:dyDescent="0.25">
      <c r="B56" s="59" t="s">
        <v>201</v>
      </c>
      <c r="C56" s="59"/>
      <c r="D56" s="59"/>
      <c r="E56" s="59"/>
      <c r="F56" s="59"/>
    </row>
    <row r="57" spans="1:18" ht="27.75" customHeight="1" x14ac:dyDescent="0.25">
      <c r="B57" s="6" t="s">
        <v>202</v>
      </c>
      <c r="C57" s="6" t="s">
        <v>203</v>
      </c>
      <c r="D57" s="6" t="s">
        <v>204</v>
      </c>
      <c r="E57" s="6" t="s">
        <v>205</v>
      </c>
      <c r="F57" s="6" t="s">
        <v>206</v>
      </c>
    </row>
    <row r="58" spans="1:18" x14ac:dyDescent="0.25">
      <c r="B58" s="19" t="s">
        <v>187</v>
      </c>
      <c r="C58" s="3" t="s">
        <v>207</v>
      </c>
      <c r="D58" s="24">
        <f>SUMIF($E$41:$E$52,"7111",$R$41:$R$52)</f>
        <v>133783492</v>
      </c>
      <c r="E58" s="30">
        <f>IFERROR(D58/SUM($D$58:$D$59),0)</f>
        <v>0.75036352251131644</v>
      </c>
      <c r="F58" s="10" t="s">
        <v>43</v>
      </c>
    </row>
    <row r="59" spans="1:18" x14ac:dyDescent="0.25">
      <c r="B59" s="19" t="s">
        <v>193</v>
      </c>
      <c r="C59" s="3" t="s">
        <v>208</v>
      </c>
      <c r="D59" s="24">
        <f>SUMIF($E$41:$E$52,"7112",$R$41:$R$52)</f>
        <v>44508080</v>
      </c>
      <c r="E59" s="30">
        <f>IFERROR(D59/SUM($D$58:$D$59),0)</f>
        <v>0.24963647748868353</v>
      </c>
      <c r="F59" s="10" t="s">
        <v>43</v>
      </c>
    </row>
    <row r="60" spans="1:18" x14ac:dyDescent="0.25">
      <c r="B60" s="58" t="s">
        <v>209</v>
      </c>
      <c r="C60" s="58"/>
      <c r="D60" s="29">
        <f>SUM(D58:D59)</f>
        <v>178291572</v>
      </c>
      <c r="E60" s="31" t="s">
        <v>210</v>
      </c>
      <c r="F60" s="1" t="s">
        <v>43</v>
      </c>
    </row>
    <row r="63" spans="1:18" ht="18" customHeight="1" x14ac:dyDescent="0.25">
      <c r="A63" s="60" t="s">
        <v>50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</row>
  </sheetData>
  <mergeCells count="9">
    <mergeCell ref="B53:E53"/>
    <mergeCell ref="B56:F56"/>
    <mergeCell ref="B60:C60"/>
    <mergeCell ref="A63:R63"/>
    <mergeCell ref="B1:S1"/>
    <mergeCell ref="B6:R6"/>
    <mergeCell ref="B20:E20"/>
    <mergeCell ref="B23:R23"/>
    <mergeCell ref="B39:R3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0080"/>
  </sheetPr>
  <dimension ref="A1:N33"/>
  <sheetViews>
    <sheetView showGridLines="0" zoomScaleNormal="100" workbookViewId="0">
      <pane xSplit="5" ySplit="7" topLeftCell="F11" activePane="bottomRight" state="frozen"/>
      <selection pane="topRight" activeCell="F1" sqref="F1"/>
      <selection pane="bottomLeft" activeCell="A8" sqref="A8"/>
      <selection pane="bottomRight" activeCell="K8" sqref="K8"/>
    </sheetView>
  </sheetViews>
  <sheetFormatPr baseColWidth="10" defaultColWidth="8.7109375" defaultRowHeight="15" x14ac:dyDescent="0.25"/>
  <cols>
    <col min="1" max="1" width="4" customWidth="1"/>
    <col min="2" max="2" width="12" customWidth="1"/>
    <col min="3" max="3" width="32" customWidth="1"/>
    <col min="4" max="4" width="18" customWidth="1"/>
    <col min="5" max="5" width="14" customWidth="1"/>
    <col min="6" max="6" width="19.42578125" customWidth="1"/>
    <col min="7" max="7" width="18" customWidth="1"/>
    <col min="8" max="8" width="17.42578125" customWidth="1"/>
    <col min="9" max="10" width="14" customWidth="1"/>
    <col min="11" max="11" width="30" customWidth="1"/>
    <col min="12" max="12" width="12" customWidth="1"/>
    <col min="13" max="13" width="16" customWidth="1"/>
  </cols>
  <sheetData>
    <row r="1" spans="2:14" ht="36" customHeight="1" x14ac:dyDescent="0.25">
      <c r="B1" s="61" t="s">
        <v>211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3" spans="2:14" x14ac:dyDescent="0.25">
      <c r="B3" s="4" t="s">
        <v>212</v>
      </c>
    </row>
    <row r="4" spans="2:14" ht="49.5" customHeight="1" x14ac:dyDescent="0.25">
      <c r="B4" s="32" t="s">
        <v>213</v>
      </c>
    </row>
    <row r="6" spans="2:14" ht="36" customHeight="1" x14ac:dyDescent="0.25">
      <c r="B6" s="6" t="s">
        <v>170</v>
      </c>
      <c r="C6" s="6" t="s">
        <v>214</v>
      </c>
      <c r="D6" s="6" t="s">
        <v>215</v>
      </c>
      <c r="E6" s="6" t="s">
        <v>168</v>
      </c>
      <c r="F6" s="6" t="s">
        <v>216</v>
      </c>
      <c r="G6" s="6" t="s">
        <v>217</v>
      </c>
      <c r="H6" s="6" t="s">
        <v>218</v>
      </c>
      <c r="I6" s="6" t="s">
        <v>219</v>
      </c>
      <c r="J6" s="6" t="s">
        <v>220</v>
      </c>
      <c r="K6" s="6" t="s">
        <v>221</v>
      </c>
      <c r="L6" s="6" t="s">
        <v>222</v>
      </c>
      <c r="M6" s="6" t="s">
        <v>223</v>
      </c>
    </row>
    <row r="7" spans="2:14" x14ac:dyDescent="0.25">
      <c r="B7" s="19" t="s">
        <v>224</v>
      </c>
      <c r="C7" s="3" t="s">
        <v>225</v>
      </c>
      <c r="D7" s="8" t="s">
        <v>226</v>
      </c>
      <c r="E7" s="8" t="s">
        <v>185</v>
      </c>
      <c r="F7" s="15">
        <v>1200000</v>
      </c>
      <c r="G7" s="15">
        <v>1280000</v>
      </c>
      <c r="H7" s="15">
        <v>1300000</v>
      </c>
      <c r="I7" s="24">
        <f t="shared" ref="I7:I28" si="0">H7-G7</f>
        <v>20000</v>
      </c>
      <c r="J7" s="30">
        <f t="shared" ref="J7:J28" si="1">IFERROR((H7-G7)/G7,0)</f>
        <v>1.5625E-2</v>
      </c>
      <c r="K7" s="2" t="s">
        <v>227</v>
      </c>
      <c r="L7" s="33"/>
      <c r="M7" s="34"/>
    </row>
    <row r="8" spans="2:14" x14ac:dyDescent="0.25">
      <c r="B8" s="19" t="s">
        <v>228</v>
      </c>
      <c r="C8" s="3" t="s">
        <v>229</v>
      </c>
      <c r="D8" s="8" t="s">
        <v>230</v>
      </c>
      <c r="E8" s="8" t="s">
        <v>190</v>
      </c>
      <c r="F8" s="15">
        <v>850000</v>
      </c>
      <c r="G8" s="15">
        <v>890000</v>
      </c>
      <c r="H8" s="15">
        <v>920000</v>
      </c>
      <c r="I8" s="24">
        <f t="shared" si="0"/>
        <v>30000</v>
      </c>
      <c r="J8" s="30">
        <f t="shared" si="1"/>
        <v>3.3707865168539325E-2</v>
      </c>
      <c r="K8" s="2" t="s">
        <v>227</v>
      </c>
      <c r="L8" s="33"/>
      <c r="M8" s="34"/>
    </row>
    <row r="9" spans="2:14" x14ac:dyDescent="0.25">
      <c r="B9" s="19" t="s">
        <v>228</v>
      </c>
      <c r="C9" s="3" t="s">
        <v>231</v>
      </c>
      <c r="D9" s="8" t="s">
        <v>232</v>
      </c>
      <c r="E9" s="8" t="s">
        <v>185</v>
      </c>
      <c r="F9" s="15">
        <v>420000</v>
      </c>
      <c r="G9" s="15">
        <v>435000</v>
      </c>
      <c r="H9" s="15">
        <v>445000</v>
      </c>
      <c r="I9" s="24">
        <f t="shared" si="0"/>
        <v>10000</v>
      </c>
      <c r="J9" s="30">
        <f t="shared" si="1"/>
        <v>2.2988505747126436E-2</v>
      </c>
      <c r="K9" s="2" t="s">
        <v>227</v>
      </c>
      <c r="L9" s="33"/>
      <c r="M9" s="34"/>
    </row>
    <row r="10" spans="2:14" x14ac:dyDescent="0.25">
      <c r="B10" s="19" t="s">
        <v>228</v>
      </c>
      <c r="C10" s="3" t="s">
        <v>233</v>
      </c>
      <c r="D10" s="8" t="s">
        <v>226</v>
      </c>
      <c r="E10" s="8" t="s">
        <v>192</v>
      </c>
      <c r="F10" s="15">
        <v>680000</v>
      </c>
      <c r="G10" s="15">
        <v>720000</v>
      </c>
      <c r="H10" s="15">
        <v>740000</v>
      </c>
      <c r="I10" s="24">
        <f t="shared" si="0"/>
        <v>20000</v>
      </c>
      <c r="J10" s="30">
        <f t="shared" si="1"/>
        <v>2.7777777777777776E-2</v>
      </c>
      <c r="K10" s="2" t="s">
        <v>227</v>
      </c>
      <c r="L10" s="33"/>
      <c r="M10" s="34"/>
    </row>
    <row r="11" spans="2:14" x14ac:dyDescent="0.25">
      <c r="B11" s="19" t="s">
        <v>234</v>
      </c>
      <c r="C11" s="3" t="s">
        <v>235</v>
      </c>
      <c r="D11" s="8" t="s">
        <v>236</v>
      </c>
      <c r="E11" s="8" t="s">
        <v>185</v>
      </c>
      <c r="F11" s="15">
        <v>560000</v>
      </c>
      <c r="G11" s="15">
        <v>610000</v>
      </c>
      <c r="H11" s="15">
        <v>580000</v>
      </c>
      <c r="I11" s="24">
        <f t="shared" si="0"/>
        <v>-30000</v>
      </c>
      <c r="J11" s="30">
        <f t="shared" si="1"/>
        <v>-4.9180327868852458E-2</v>
      </c>
      <c r="K11" s="2" t="s">
        <v>227</v>
      </c>
      <c r="L11" s="33"/>
      <c r="M11" s="34"/>
    </row>
    <row r="12" spans="2:14" x14ac:dyDescent="0.25">
      <c r="B12" s="19" t="s">
        <v>234</v>
      </c>
      <c r="C12" s="3" t="s">
        <v>237</v>
      </c>
      <c r="D12" s="8" t="s">
        <v>236</v>
      </c>
      <c r="E12" s="8" t="s">
        <v>194</v>
      </c>
      <c r="F12" s="15">
        <v>390000</v>
      </c>
      <c r="G12" s="15">
        <v>430000</v>
      </c>
      <c r="H12" s="15">
        <v>445000</v>
      </c>
      <c r="I12" s="24">
        <f t="shared" si="0"/>
        <v>15000</v>
      </c>
      <c r="J12" s="30">
        <f t="shared" si="1"/>
        <v>3.4883720930232558E-2</v>
      </c>
      <c r="K12" s="2" t="s">
        <v>227</v>
      </c>
      <c r="L12" s="33"/>
      <c r="M12" s="34"/>
    </row>
    <row r="13" spans="2:14" x14ac:dyDescent="0.25">
      <c r="B13" s="19" t="s">
        <v>238</v>
      </c>
      <c r="C13" s="3" t="s">
        <v>239</v>
      </c>
      <c r="D13" s="8" t="s">
        <v>232</v>
      </c>
      <c r="E13" s="8" t="s">
        <v>185</v>
      </c>
      <c r="F13" s="15">
        <v>280000</v>
      </c>
      <c r="G13" s="15">
        <v>295000</v>
      </c>
      <c r="H13" s="15">
        <v>310000</v>
      </c>
      <c r="I13" s="24">
        <f t="shared" si="0"/>
        <v>15000</v>
      </c>
      <c r="J13" s="30">
        <f t="shared" si="1"/>
        <v>5.0847457627118647E-2</v>
      </c>
      <c r="K13" s="2" t="s">
        <v>227</v>
      </c>
      <c r="L13" s="33"/>
      <c r="M13" s="34"/>
    </row>
    <row r="14" spans="2:14" x14ac:dyDescent="0.25">
      <c r="B14" s="19" t="s">
        <v>238</v>
      </c>
      <c r="C14" s="3" t="s">
        <v>240</v>
      </c>
      <c r="D14" s="8" t="s">
        <v>230</v>
      </c>
      <c r="E14" s="8" t="s">
        <v>190</v>
      </c>
      <c r="F14" s="15">
        <v>145000</v>
      </c>
      <c r="G14" s="15">
        <v>152000</v>
      </c>
      <c r="H14" s="15">
        <v>160000</v>
      </c>
      <c r="I14" s="24">
        <f t="shared" si="0"/>
        <v>8000</v>
      </c>
      <c r="J14" s="30">
        <f t="shared" si="1"/>
        <v>5.2631578947368418E-2</v>
      </c>
      <c r="K14" s="2" t="s">
        <v>227</v>
      </c>
      <c r="L14" s="33"/>
      <c r="M14" s="34"/>
    </row>
    <row r="15" spans="2:14" x14ac:dyDescent="0.25">
      <c r="B15" s="19" t="s">
        <v>241</v>
      </c>
      <c r="C15" s="3" t="s">
        <v>242</v>
      </c>
      <c r="D15" s="8" t="s">
        <v>243</v>
      </c>
      <c r="E15" s="8" t="s">
        <v>185</v>
      </c>
      <c r="F15" s="15">
        <v>320000</v>
      </c>
      <c r="G15" s="15">
        <v>365000</v>
      </c>
      <c r="H15" s="15">
        <v>390000</v>
      </c>
      <c r="I15" s="24">
        <f t="shared" si="0"/>
        <v>25000</v>
      </c>
      <c r="J15" s="30">
        <f t="shared" si="1"/>
        <v>6.8493150684931503E-2</v>
      </c>
      <c r="K15" s="2" t="s">
        <v>227</v>
      </c>
      <c r="L15" s="33"/>
      <c r="M15" s="34"/>
    </row>
    <row r="16" spans="2:14" x14ac:dyDescent="0.25">
      <c r="B16" s="19" t="s">
        <v>244</v>
      </c>
      <c r="C16" s="3" t="s">
        <v>245</v>
      </c>
      <c r="D16" s="8" t="s">
        <v>232</v>
      </c>
      <c r="E16" s="8" t="s">
        <v>185</v>
      </c>
      <c r="F16" s="15">
        <v>95000</v>
      </c>
      <c r="G16" s="15">
        <v>98000</v>
      </c>
      <c r="H16" s="15">
        <v>102000</v>
      </c>
      <c r="I16" s="24">
        <f t="shared" si="0"/>
        <v>4000</v>
      </c>
      <c r="J16" s="30">
        <f t="shared" si="1"/>
        <v>4.0816326530612242E-2</v>
      </c>
      <c r="K16" s="2" t="s">
        <v>227</v>
      </c>
      <c r="L16" s="33"/>
      <c r="M16" s="34"/>
    </row>
    <row r="17" spans="2:14" x14ac:dyDescent="0.25">
      <c r="B17" s="19" t="s">
        <v>244</v>
      </c>
      <c r="C17" s="3" t="s">
        <v>246</v>
      </c>
      <c r="D17" s="8" t="s">
        <v>232</v>
      </c>
      <c r="E17" s="8" t="s">
        <v>185</v>
      </c>
      <c r="F17" s="15">
        <v>120000</v>
      </c>
      <c r="G17" s="15">
        <v>125000</v>
      </c>
      <c r="H17" s="15">
        <v>130000</v>
      </c>
      <c r="I17" s="24">
        <f t="shared" si="0"/>
        <v>5000</v>
      </c>
      <c r="J17" s="30">
        <f t="shared" si="1"/>
        <v>0.04</v>
      </c>
      <c r="K17" s="2" t="s">
        <v>227</v>
      </c>
      <c r="L17" s="33"/>
      <c r="M17" s="34"/>
    </row>
    <row r="18" spans="2:14" x14ac:dyDescent="0.25">
      <c r="B18" s="19" t="s">
        <v>244</v>
      </c>
      <c r="C18" s="3" t="s">
        <v>247</v>
      </c>
      <c r="D18" s="8" t="s">
        <v>232</v>
      </c>
      <c r="E18" s="8" t="s">
        <v>185</v>
      </c>
      <c r="F18" s="15">
        <v>85000</v>
      </c>
      <c r="G18" s="15">
        <v>92000</v>
      </c>
      <c r="H18" s="15">
        <v>100000</v>
      </c>
      <c r="I18" s="24">
        <f t="shared" si="0"/>
        <v>8000</v>
      </c>
      <c r="J18" s="30">
        <f t="shared" si="1"/>
        <v>8.6956521739130432E-2</v>
      </c>
      <c r="K18" s="2" t="s">
        <v>227</v>
      </c>
      <c r="L18" s="33"/>
      <c r="M18" s="34"/>
    </row>
    <row r="19" spans="2:14" x14ac:dyDescent="0.25">
      <c r="B19" s="19" t="s">
        <v>248</v>
      </c>
      <c r="C19" s="3" t="s">
        <v>249</v>
      </c>
      <c r="D19" s="8" t="s">
        <v>243</v>
      </c>
      <c r="E19" s="8" t="s">
        <v>192</v>
      </c>
      <c r="F19" s="15">
        <v>45000</v>
      </c>
      <c r="G19" s="15">
        <v>60000</v>
      </c>
      <c r="H19" s="15">
        <v>75000</v>
      </c>
      <c r="I19" s="24">
        <f t="shared" si="0"/>
        <v>15000</v>
      </c>
      <c r="J19" s="30">
        <f t="shared" si="1"/>
        <v>0.25</v>
      </c>
      <c r="K19" s="2" t="s">
        <v>227</v>
      </c>
      <c r="L19" s="33"/>
      <c r="M19" s="34"/>
    </row>
    <row r="20" spans="2:14" x14ac:dyDescent="0.25">
      <c r="B20" s="19" t="s">
        <v>250</v>
      </c>
      <c r="C20" s="3" t="s">
        <v>251</v>
      </c>
      <c r="D20" s="8" t="s">
        <v>230</v>
      </c>
      <c r="E20" s="8" t="s">
        <v>190</v>
      </c>
      <c r="F20" s="15">
        <v>720000</v>
      </c>
      <c r="G20" s="15">
        <v>780000</v>
      </c>
      <c r="H20" s="15">
        <v>820000</v>
      </c>
      <c r="I20" s="24">
        <f t="shared" si="0"/>
        <v>40000</v>
      </c>
      <c r="J20" s="30">
        <f t="shared" si="1"/>
        <v>5.128205128205128E-2</v>
      </c>
      <c r="K20" s="2" t="s">
        <v>227</v>
      </c>
      <c r="L20" s="33"/>
      <c r="M20" s="34"/>
    </row>
    <row r="21" spans="2:14" x14ac:dyDescent="0.25">
      <c r="B21" s="19" t="s">
        <v>250</v>
      </c>
      <c r="C21" s="3" t="s">
        <v>252</v>
      </c>
      <c r="D21" s="8" t="s">
        <v>230</v>
      </c>
      <c r="E21" s="8" t="s">
        <v>192</v>
      </c>
      <c r="F21" s="15">
        <v>310000</v>
      </c>
      <c r="G21" s="15">
        <v>335000</v>
      </c>
      <c r="H21" s="15">
        <v>350000</v>
      </c>
      <c r="I21" s="24">
        <f t="shared" si="0"/>
        <v>15000</v>
      </c>
      <c r="J21" s="30">
        <f t="shared" si="1"/>
        <v>4.4776119402985072E-2</v>
      </c>
      <c r="K21" s="2" t="s">
        <v>227</v>
      </c>
      <c r="L21" s="33"/>
      <c r="M21" s="34"/>
    </row>
    <row r="22" spans="2:14" x14ac:dyDescent="0.25">
      <c r="B22" s="19" t="s">
        <v>253</v>
      </c>
      <c r="C22" s="3" t="s">
        <v>254</v>
      </c>
      <c r="D22" s="8" t="s">
        <v>243</v>
      </c>
      <c r="E22" s="8" t="s">
        <v>185</v>
      </c>
      <c r="F22" s="15">
        <v>180000</v>
      </c>
      <c r="G22" s="15">
        <v>195000</v>
      </c>
      <c r="H22" s="15">
        <v>210000</v>
      </c>
      <c r="I22" s="24">
        <f t="shared" si="0"/>
        <v>15000</v>
      </c>
      <c r="J22" s="30">
        <f t="shared" si="1"/>
        <v>7.6923076923076927E-2</v>
      </c>
      <c r="K22" s="2" t="s">
        <v>227</v>
      </c>
      <c r="L22" s="33"/>
      <c r="M22" s="34"/>
    </row>
    <row r="23" spans="2:14" x14ac:dyDescent="0.25">
      <c r="B23" s="19" t="s">
        <v>255</v>
      </c>
      <c r="C23" s="3" t="s">
        <v>256</v>
      </c>
      <c r="D23" s="8" t="s">
        <v>243</v>
      </c>
      <c r="E23" s="8" t="s">
        <v>185</v>
      </c>
      <c r="F23" s="15">
        <v>220000</v>
      </c>
      <c r="G23" s="15">
        <v>240000</v>
      </c>
      <c r="H23" s="15">
        <v>280000</v>
      </c>
      <c r="I23" s="24">
        <f t="shared" si="0"/>
        <v>40000</v>
      </c>
      <c r="J23" s="30">
        <f t="shared" si="1"/>
        <v>0.16666666666666666</v>
      </c>
      <c r="K23" s="2" t="s">
        <v>227</v>
      </c>
      <c r="L23" s="33"/>
      <c r="M23" s="34"/>
    </row>
    <row r="24" spans="2:14" x14ac:dyDescent="0.25">
      <c r="B24" s="19" t="s">
        <v>257</v>
      </c>
      <c r="C24" s="3" t="s">
        <v>258</v>
      </c>
      <c r="D24" s="8" t="s">
        <v>232</v>
      </c>
      <c r="E24" s="8" t="s">
        <v>185</v>
      </c>
      <c r="F24" s="15">
        <v>65000</v>
      </c>
      <c r="G24" s="15">
        <v>68000</v>
      </c>
      <c r="H24" s="15">
        <v>72000</v>
      </c>
      <c r="I24" s="24">
        <f t="shared" si="0"/>
        <v>4000</v>
      </c>
      <c r="J24" s="30">
        <f t="shared" si="1"/>
        <v>5.8823529411764705E-2</v>
      </c>
      <c r="K24" s="2" t="s">
        <v>227</v>
      </c>
      <c r="L24" s="33"/>
      <c r="M24" s="34"/>
    </row>
    <row r="25" spans="2:14" x14ac:dyDescent="0.25">
      <c r="B25" s="19" t="s">
        <v>259</v>
      </c>
      <c r="C25" s="3" t="s">
        <v>260</v>
      </c>
      <c r="D25" s="8" t="s">
        <v>232</v>
      </c>
      <c r="E25" s="8" t="s">
        <v>185</v>
      </c>
      <c r="F25" s="15">
        <v>38000</v>
      </c>
      <c r="G25" s="15">
        <v>40000</v>
      </c>
      <c r="H25" s="15">
        <v>42000</v>
      </c>
      <c r="I25" s="24">
        <f t="shared" si="0"/>
        <v>2000</v>
      </c>
      <c r="J25" s="30">
        <f t="shared" si="1"/>
        <v>0.05</v>
      </c>
      <c r="K25" s="2" t="s">
        <v>227</v>
      </c>
      <c r="L25" s="33"/>
      <c r="M25" s="34"/>
    </row>
    <row r="26" spans="2:14" x14ac:dyDescent="0.25">
      <c r="B26" s="19" t="s">
        <v>261</v>
      </c>
      <c r="C26" s="3" t="s">
        <v>262</v>
      </c>
      <c r="D26" s="8" t="s">
        <v>232</v>
      </c>
      <c r="E26" s="8" t="s">
        <v>185</v>
      </c>
      <c r="F26" s="15">
        <v>155000</v>
      </c>
      <c r="G26" s="15">
        <v>168000</v>
      </c>
      <c r="H26" s="15">
        <v>175000</v>
      </c>
      <c r="I26" s="24">
        <f t="shared" si="0"/>
        <v>7000</v>
      </c>
      <c r="J26" s="30">
        <f t="shared" si="1"/>
        <v>4.1666666666666664E-2</v>
      </c>
      <c r="K26" s="2" t="s">
        <v>227</v>
      </c>
      <c r="L26" s="33"/>
      <c r="M26" s="34"/>
    </row>
    <row r="27" spans="2:14" x14ac:dyDescent="0.25">
      <c r="B27" s="19" t="s">
        <v>263</v>
      </c>
      <c r="C27" s="3" t="s">
        <v>264</v>
      </c>
      <c r="D27" s="8" t="s">
        <v>232</v>
      </c>
      <c r="E27" s="8" t="s">
        <v>185</v>
      </c>
      <c r="F27" s="15">
        <v>95000</v>
      </c>
      <c r="G27" s="15">
        <v>102000</v>
      </c>
      <c r="H27" s="15">
        <v>110000</v>
      </c>
      <c r="I27" s="24">
        <f t="shared" si="0"/>
        <v>8000</v>
      </c>
      <c r="J27" s="30">
        <f t="shared" si="1"/>
        <v>7.8431372549019607E-2</v>
      </c>
      <c r="K27" s="2" t="s">
        <v>227</v>
      </c>
      <c r="L27" s="33"/>
      <c r="M27" s="34"/>
    </row>
    <row r="28" spans="2:14" x14ac:dyDescent="0.25">
      <c r="B28" s="58" t="s">
        <v>265</v>
      </c>
      <c r="C28" s="58"/>
      <c r="D28" s="58"/>
      <c r="E28" s="58"/>
      <c r="F28" s="29">
        <f>SUM(F7:F27)</f>
        <v>6973000</v>
      </c>
      <c r="G28" s="29">
        <f>SUM(G7:G27)</f>
        <v>7480000</v>
      </c>
      <c r="H28" s="29">
        <f>SUM(H7:H27)</f>
        <v>7756000</v>
      </c>
      <c r="I28" s="29">
        <f t="shared" si="0"/>
        <v>276000</v>
      </c>
      <c r="J28" s="31">
        <f t="shared" si="1"/>
        <v>3.6898395721925131E-2</v>
      </c>
      <c r="K28" s="1"/>
      <c r="L28" s="1"/>
      <c r="M28" s="1"/>
    </row>
    <row r="31" spans="2:14" ht="15.75" x14ac:dyDescent="0.25">
      <c r="B31" s="59" t="s">
        <v>266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3" spans="1:13" ht="18" customHeight="1" x14ac:dyDescent="0.25">
      <c r="A33" s="60" t="s">
        <v>50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</row>
  </sheetData>
  <mergeCells count="4">
    <mergeCell ref="B1:N1"/>
    <mergeCell ref="B28:E28"/>
    <mergeCell ref="B31:N31"/>
    <mergeCell ref="A33:M33"/>
  </mergeCells>
  <conditionalFormatting sqref="I7:I27">
    <cfRule type="expression" dxfId="10" priority="2">
      <formula>ABS(I7)&gt;SEUIL_MAD</formula>
    </cfRule>
  </conditionalFormatting>
  <conditionalFormatting sqref="J7:J27">
    <cfRule type="expression" dxfId="9" priority="3">
      <formula>ABS(J7)&gt;SEUIL_PCT</formula>
    </cfRule>
  </conditionalFormatting>
  <conditionalFormatting sqref="K7:K27">
    <cfRule type="expression" dxfId="8" priority="4">
      <formula>AND(OR(ABS(I7)&gt;SEUIL_MAD,ABS(J7)&gt;SEUIL_PCT),OR(K7="",ISNUMBER(SEARCH("À renseigner",K7))))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0080"/>
  </sheetPr>
  <dimension ref="A1:O36"/>
  <sheetViews>
    <sheetView showGridLines="0"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7109375" defaultRowHeight="15" x14ac:dyDescent="0.25"/>
  <cols>
    <col min="1" max="1" width="4" customWidth="1"/>
    <col min="2" max="2" width="16" customWidth="1"/>
    <col min="3" max="4" width="22" customWidth="1"/>
    <col min="5" max="5" width="12" customWidth="1"/>
    <col min="6" max="6" width="14" customWidth="1"/>
    <col min="7" max="7" width="19" customWidth="1"/>
    <col min="8" max="11" width="14" customWidth="1"/>
    <col min="12" max="12" width="17.28515625" customWidth="1"/>
    <col min="13" max="13" width="18.28515625" customWidth="1"/>
    <col min="14" max="14" width="16" customWidth="1"/>
  </cols>
  <sheetData>
    <row r="1" spans="2:15" ht="36" customHeight="1" x14ac:dyDescent="0.25">
      <c r="B1" s="61" t="s">
        <v>267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3" spans="2:15" x14ac:dyDescent="0.25">
      <c r="B3" s="35" t="s">
        <v>268</v>
      </c>
    </row>
    <row r="4" spans="2:15" x14ac:dyDescent="0.25">
      <c r="B4" s="25" t="s">
        <v>269</v>
      </c>
    </row>
    <row r="6" spans="2:15" ht="42" customHeight="1" x14ac:dyDescent="0.25">
      <c r="B6" s="6" t="s">
        <v>167</v>
      </c>
      <c r="C6" s="6" t="s">
        <v>168</v>
      </c>
      <c r="D6" s="6" t="s">
        <v>215</v>
      </c>
      <c r="E6" s="6" t="s">
        <v>270</v>
      </c>
      <c r="F6" s="6" t="s">
        <v>271</v>
      </c>
      <c r="G6" s="6" t="s">
        <v>272</v>
      </c>
      <c r="H6" s="6" t="s">
        <v>273</v>
      </c>
      <c r="I6" s="6" t="s">
        <v>274</v>
      </c>
      <c r="J6" s="6" t="s">
        <v>275</v>
      </c>
      <c r="K6" s="6" t="s">
        <v>276</v>
      </c>
      <c r="L6" s="6" t="s">
        <v>277</v>
      </c>
      <c r="M6" s="6" t="s">
        <v>278</v>
      </c>
      <c r="N6" s="6" t="s">
        <v>170</v>
      </c>
    </row>
    <row r="7" spans="2:15" x14ac:dyDescent="0.25">
      <c r="B7" s="3" t="s">
        <v>184</v>
      </c>
      <c r="C7" s="3" t="s">
        <v>185</v>
      </c>
      <c r="D7" s="3" t="s">
        <v>226</v>
      </c>
      <c r="E7" s="16">
        <v>145</v>
      </c>
      <c r="F7" s="15">
        <v>6800</v>
      </c>
      <c r="G7" s="24">
        <f t="shared" ref="G7:G22" si="0">E7*F7*12</f>
        <v>11832000</v>
      </c>
      <c r="H7" s="24">
        <f t="shared" ref="H7:H22" si="1">MIN(F7,PLAFOND_CNSS)*E7*12*CNSS_PAT</f>
        <v>937512</v>
      </c>
      <c r="I7" s="24">
        <f t="shared" ref="I7:I22" si="2">G7*AMO_PAT</f>
        <v>486295.19999999995</v>
      </c>
      <c r="J7" s="24">
        <f t="shared" ref="J7:J22" si="3">G7*TAXE_FORM</f>
        <v>189312</v>
      </c>
      <c r="K7" s="24">
        <f t="shared" ref="K7:K22" si="4">G7*CIMR_PAT*CIMR_ACTIF</f>
        <v>709920</v>
      </c>
      <c r="L7" s="24">
        <f t="shared" ref="L7:L22" si="5">SUM(H7:K7)</f>
        <v>2323039.2000000002</v>
      </c>
      <c r="M7" s="28">
        <f t="shared" ref="M7:M22" si="6">G7+L7</f>
        <v>14155039.199999999</v>
      </c>
      <c r="N7" s="10" t="s">
        <v>279</v>
      </c>
    </row>
    <row r="8" spans="2:15" x14ac:dyDescent="0.25">
      <c r="B8" s="3" t="s">
        <v>184</v>
      </c>
      <c r="C8" s="3" t="s">
        <v>185</v>
      </c>
      <c r="D8" s="3" t="s">
        <v>236</v>
      </c>
      <c r="E8" s="16">
        <v>22</v>
      </c>
      <c r="F8" s="15">
        <v>8500</v>
      </c>
      <c r="G8" s="24">
        <f t="shared" si="0"/>
        <v>2244000</v>
      </c>
      <c r="H8" s="24">
        <f t="shared" si="1"/>
        <v>142243.20000000001</v>
      </c>
      <c r="I8" s="24">
        <f t="shared" si="2"/>
        <v>92228.4</v>
      </c>
      <c r="J8" s="24">
        <f t="shared" si="3"/>
        <v>35904</v>
      </c>
      <c r="K8" s="24">
        <f t="shared" si="4"/>
        <v>134640</v>
      </c>
      <c r="L8" s="24">
        <f t="shared" si="5"/>
        <v>405015.6</v>
      </c>
      <c r="M8" s="28">
        <f t="shared" si="6"/>
        <v>2649015.6</v>
      </c>
      <c r="N8" s="10" t="s">
        <v>279</v>
      </c>
    </row>
    <row r="9" spans="2:15" x14ac:dyDescent="0.25">
      <c r="B9" s="3" t="s">
        <v>184</v>
      </c>
      <c r="C9" s="3" t="s">
        <v>185</v>
      </c>
      <c r="D9" s="3" t="s">
        <v>280</v>
      </c>
      <c r="E9" s="16">
        <v>12</v>
      </c>
      <c r="F9" s="15">
        <v>9200</v>
      </c>
      <c r="G9" s="24">
        <f t="shared" si="0"/>
        <v>1324800</v>
      </c>
      <c r="H9" s="24">
        <f t="shared" si="1"/>
        <v>77587.199999999997</v>
      </c>
      <c r="I9" s="24">
        <f t="shared" si="2"/>
        <v>54449.279999999999</v>
      </c>
      <c r="J9" s="24">
        <f t="shared" si="3"/>
        <v>21196.799999999999</v>
      </c>
      <c r="K9" s="24">
        <f t="shared" si="4"/>
        <v>79488</v>
      </c>
      <c r="L9" s="24">
        <f t="shared" si="5"/>
        <v>232721.27999999997</v>
      </c>
      <c r="M9" s="28">
        <f t="shared" si="6"/>
        <v>1557521.28</v>
      </c>
      <c r="N9" s="10" t="s">
        <v>279</v>
      </c>
    </row>
    <row r="10" spans="2:15" x14ac:dyDescent="0.25">
      <c r="B10" s="3" t="s">
        <v>184</v>
      </c>
      <c r="C10" s="3" t="s">
        <v>185</v>
      </c>
      <c r="D10" s="3" t="s">
        <v>230</v>
      </c>
      <c r="E10" s="16">
        <v>28</v>
      </c>
      <c r="F10" s="15">
        <v>5800</v>
      </c>
      <c r="G10" s="24">
        <f t="shared" si="0"/>
        <v>1948800</v>
      </c>
      <c r="H10" s="24">
        <f t="shared" si="1"/>
        <v>175002.24000000002</v>
      </c>
      <c r="I10" s="24">
        <f t="shared" si="2"/>
        <v>80095.679999999993</v>
      </c>
      <c r="J10" s="24">
        <f t="shared" si="3"/>
        <v>31180.799999999999</v>
      </c>
      <c r="K10" s="24">
        <f t="shared" si="4"/>
        <v>116928</v>
      </c>
      <c r="L10" s="24">
        <f t="shared" si="5"/>
        <v>403206.72000000003</v>
      </c>
      <c r="M10" s="28">
        <f t="shared" si="6"/>
        <v>2352006.7200000002</v>
      </c>
      <c r="N10" s="10" t="s">
        <v>279</v>
      </c>
    </row>
    <row r="11" spans="2:15" x14ac:dyDescent="0.25">
      <c r="B11" s="3" t="s">
        <v>184</v>
      </c>
      <c r="C11" s="3" t="s">
        <v>185</v>
      </c>
      <c r="D11" s="3" t="s">
        <v>243</v>
      </c>
      <c r="E11" s="16">
        <v>18</v>
      </c>
      <c r="F11" s="15">
        <v>12500</v>
      </c>
      <c r="G11" s="24">
        <f t="shared" si="0"/>
        <v>2700000</v>
      </c>
      <c r="H11" s="24">
        <f t="shared" si="1"/>
        <v>116380.8</v>
      </c>
      <c r="I11" s="24">
        <f t="shared" si="2"/>
        <v>110970</v>
      </c>
      <c r="J11" s="24">
        <f t="shared" si="3"/>
        <v>43200</v>
      </c>
      <c r="K11" s="24">
        <f t="shared" si="4"/>
        <v>162000</v>
      </c>
      <c r="L11" s="24">
        <f t="shared" si="5"/>
        <v>432550.8</v>
      </c>
      <c r="M11" s="28">
        <f t="shared" si="6"/>
        <v>3132550.8</v>
      </c>
      <c r="N11" s="10" t="s">
        <v>279</v>
      </c>
    </row>
    <row r="12" spans="2:15" x14ac:dyDescent="0.25">
      <c r="B12" s="3" t="s">
        <v>184</v>
      </c>
      <c r="C12" s="3" t="s">
        <v>185</v>
      </c>
      <c r="D12" s="3" t="s">
        <v>232</v>
      </c>
      <c r="E12" s="16">
        <v>24</v>
      </c>
      <c r="F12" s="15">
        <v>11000</v>
      </c>
      <c r="G12" s="24">
        <f t="shared" si="0"/>
        <v>3168000</v>
      </c>
      <c r="H12" s="24">
        <f t="shared" si="1"/>
        <v>155174.39999999999</v>
      </c>
      <c r="I12" s="24">
        <f t="shared" si="2"/>
        <v>130204.79999999999</v>
      </c>
      <c r="J12" s="24">
        <f t="shared" si="3"/>
        <v>50688</v>
      </c>
      <c r="K12" s="24">
        <f t="shared" si="4"/>
        <v>190080</v>
      </c>
      <c r="L12" s="24">
        <f t="shared" si="5"/>
        <v>526147.19999999995</v>
      </c>
      <c r="M12" s="28">
        <f t="shared" si="6"/>
        <v>3694147.2</v>
      </c>
      <c r="N12" s="10" t="s">
        <v>279</v>
      </c>
    </row>
    <row r="13" spans="2:15" x14ac:dyDescent="0.25">
      <c r="B13" s="3" t="s">
        <v>184</v>
      </c>
      <c r="C13" s="3" t="s">
        <v>190</v>
      </c>
      <c r="D13" s="3" t="s">
        <v>230</v>
      </c>
      <c r="E13" s="16">
        <v>35</v>
      </c>
      <c r="F13" s="15">
        <v>5500</v>
      </c>
      <c r="G13" s="24">
        <f t="shared" si="0"/>
        <v>2310000</v>
      </c>
      <c r="H13" s="24">
        <f t="shared" si="1"/>
        <v>207438</v>
      </c>
      <c r="I13" s="24">
        <f t="shared" si="2"/>
        <v>94941</v>
      </c>
      <c r="J13" s="24">
        <f t="shared" si="3"/>
        <v>36960</v>
      </c>
      <c r="K13" s="24">
        <f t="shared" si="4"/>
        <v>138600</v>
      </c>
      <c r="L13" s="24">
        <f t="shared" si="5"/>
        <v>477939</v>
      </c>
      <c r="M13" s="28">
        <f t="shared" si="6"/>
        <v>2787939</v>
      </c>
      <c r="N13" s="10" t="s">
        <v>279</v>
      </c>
    </row>
    <row r="14" spans="2:15" x14ac:dyDescent="0.25">
      <c r="B14" s="3" t="s">
        <v>184</v>
      </c>
      <c r="C14" s="3" t="s">
        <v>190</v>
      </c>
      <c r="D14" s="3" t="s">
        <v>226</v>
      </c>
      <c r="E14" s="16">
        <v>62</v>
      </c>
      <c r="F14" s="15">
        <v>6500</v>
      </c>
      <c r="G14" s="24">
        <f t="shared" si="0"/>
        <v>4836000</v>
      </c>
      <c r="H14" s="24">
        <f t="shared" si="1"/>
        <v>400867.2</v>
      </c>
      <c r="I14" s="24">
        <f t="shared" si="2"/>
        <v>198759.59999999998</v>
      </c>
      <c r="J14" s="24">
        <f t="shared" si="3"/>
        <v>77376</v>
      </c>
      <c r="K14" s="24">
        <f t="shared" si="4"/>
        <v>290160</v>
      </c>
      <c r="L14" s="24">
        <f t="shared" si="5"/>
        <v>967162.8</v>
      </c>
      <c r="M14" s="28">
        <f t="shared" si="6"/>
        <v>5803162.7999999998</v>
      </c>
      <c r="N14" s="10" t="s">
        <v>279</v>
      </c>
    </row>
    <row r="15" spans="2:15" x14ac:dyDescent="0.25">
      <c r="B15" s="3" t="s">
        <v>191</v>
      </c>
      <c r="C15" s="3" t="s">
        <v>192</v>
      </c>
      <c r="D15" s="3" t="s">
        <v>226</v>
      </c>
      <c r="E15" s="16">
        <v>108</v>
      </c>
      <c r="F15" s="15">
        <v>6200</v>
      </c>
      <c r="G15" s="24">
        <f t="shared" si="0"/>
        <v>8035200</v>
      </c>
      <c r="H15" s="24">
        <f t="shared" si="1"/>
        <v>698284.8</v>
      </c>
      <c r="I15" s="24">
        <f t="shared" si="2"/>
        <v>330246.71999999997</v>
      </c>
      <c r="J15" s="24">
        <f t="shared" si="3"/>
        <v>128563.2</v>
      </c>
      <c r="K15" s="24">
        <f t="shared" si="4"/>
        <v>482112</v>
      </c>
      <c r="L15" s="24">
        <f t="shared" si="5"/>
        <v>1639206.72</v>
      </c>
      <c r="M15" s="28">
        <f t="shared" si="6"/>
        <v>9674406.7200000007</v>
      </c>
      <c r="N15" s="10" t="s">
        <v>279</v>
      </c>
    </row>
    <row r="16" spans="2:15" x14ac:dyDescent="0.25">
      <c r="B16" s="3" t="s">
        <v>191</v>
      </c>
      <c r="C16" s="3" t="s">
        <v>192</v>
      </c>
      <c r="D16" s="3" t="s">
        <v>236</v>
      </c>
      <c r="E16" s="16">
        <v>18</v>
      </c>
      <c r="F16" s="15">
        <v>7800</v>
      </c>
      <c r="G16" s="24">
        <f t="shared" si="0"/>
        <v>1684800</v>
      </c>
      <c r="H16" s="24">
        <f t="shared" si="1"/>
        <v>116380.8</v>
      </c>
      <c r="I16" s="24">
        <f t="shared" si="2"/>
        <v>69245.279999999999</v>
      </c>
      <c r="J16" s="24">
        <f t="shared" si="3"/>
        <v>26956.799999999999</v>
      </c>
      <c r="K16" s="24">
        <f t="shared" si="4"/>
        <v>101088</v>
      </c>
      <c r="L16" s="24">
        <f t="shared" si="5"/>
        <v>313670.88</v>
      </c>
      <c r="M16" s="28">
        <f t="shared" si="6"/>
        <v>1998470.88</v>
      </c>
      <c r="N16" s="10" t="s">
        <v>279</v>
      </c>
    </row>
    <row r="17" spans="2:15" x14ac:dyDescent="0.25">
      <c r="B17" s="3" t="s">
        <v>191</v>
      </c>
      <c r="C17" s="3" t="s">
        <v>192</v>
      </c>
      <c r="D17" s="3" t="s">
        <v>280</v>
      </c>
      <c r="E17" s="16">
        <v>10</v>
      </c>
      <c r="F17" s="15">
        <v>8500</v>
      </c>
      <c r="G17" s="24">
        <f t="shared" si="0"/>
        <v>1020000</v>
      </c>
      <c r="H17" s="24">
        <f t="shared" si="1"/>
        <v>64656</v>
      </c>
      <c r="I17" s="24">
        <f t="shared" si="2"/>
        <v>41922</v>
      </c>
      <c r="J17" s="24">
        <f t="shared" si="3"/>
        <v>16320</v>
      </c>
      <c r="K17" s="24">
        <f t="shared" si="4"/>
        <v>61200</v>
      </c>
      <c r="L17" s="24">
        <f t="shared" si="5"/>
        <v>184098</v>
      </c>
      <c r="M17" s="28">
        <f t="shared" si="6"/>
        <v>1204098</v>
      </c>
      <c r="N17" s="10" t="s">
        <v>279</v>
      </c>
    </row>
    <row r="18" spans="2:15" x14ac:dyDescent="0.25">
      <c r="B18" s="3" t="s">
        <v>191</v>
      </c>
      <c r="C18" s="3" t="s">
        <v>192</v>
      </c>
      <c r="D18" s="3" t="s">
        <v>230</v>
      </c>
      <c r="E18" s="16">
        <v>25</v>
      </c>
      <c r="F18" s="15">
        <v>5400</v>
      </c>
      <c r="G18" s="24">
        <f t="shared" si="0"/>
        <v>1620000</v>
      </c>
      <c r="H18" s="24">
        <f t="shared" si="1"/>
        <v>145476</v>
      </c>
      <c r="I18" s="24">
        <f t="shared" si="2"/>
        <v>66582</v>
      </c>
      <c r="J18" s="24">
        <f t="shared" si="3"/>
        <v>25920</v>
      </c>
      <c r="K18" s="24">
        <f t="shared" si="4"/>
        <v>97200</v>
      </c>
      <c r="L18" s="24">
        <f t="shared" si="5"/>
        <v>335178</v>
      </c>
      <c r="M18" s="28">
        <f t="shared" si="6"/>
        <v>1955178</v>
      </c>
      <c r="N18" s="10" t="s">
        <v>279</v>
      </c>
    </row>
    <row r="19" spans="2:15" x14ac:dyDescent="0.25">
      <c r="B19" s="3" t="s">
        <v>191</v>
      </c>
      <c r="C19" s="3" t="s">
        <v>192</v>
      </c>
      <c r="D19" s="3" t="s">
        <v>243</v>
      </c>
      <c r="E19" s="16">
        <v>8</v>
      </c>
      <c r="F19" s="15">
        <v>11500</v>
      </c>
      <c r="G19" s="24">
        <f t="shared" si="0"/>
        <v>1104000</v>
      </c>
      <c r="H19" s="24">
        <f t="shared" si="1"/>
        <v>51724.800000000003</v>
      </c>
      <c r="I19" s="24">
        <f t="shared" si="2"/>
        <v>45374.399999999994</v>
      </c>
      <c r="J19" s="24">
        <f t="shared" si="3"/>
        <v>17664</v>
      </c>
      <c r="K19" s="24">
        <f t="shared" si="4"/>
        <v>66240</v>
      </c>
      <c r="L19" s="24">
        <f t="shared" si="5"/>
        <v>181003.2</v>
      </c>
      <c r="M19" s="28">
        <f t="shared" si="6"/>
        <v>1285003.2</v>
      </c>
      <c r="N19" s="10" t="s">
        <v>279</v>
      </c>
    </row>
    <row r="20" spans="2:15" x14ac:dyDescent="0.25">
      <c r="B20" s="3" t="s">
        <v>191</v>
      </c>
      <c r="C20" s="3" t="s">
        <v>192</v>
      </c>
      <c r="D20" s="3" t="s">
        <v>232</v>
      </c>
      <c r="E20" s="16">
        <v>12</v>
      </c>
      <c r="F20" s="15">
        <v>10500</v>
      </c>
      <c r="G20" s="24">
        <f t="shared" si="0"/>
        <v>1512000</v>
      </c>
      <c r="H20" s="24">
        <f t="shared" si="1"/>
        <v>77587.199999999997</v>
      </c>
      <c r="I20" s="24">
        <f t="shared" si="2"/>
        <v>62143.199999999997</v>
      </c>
      <c r="J20" s="24">
        <f t="shared" si="3"/>
        <v>24192</v>
      </c>
      <c r="K20" s="24">
        <f t="shared" si="4"/>
        <v>90720</v>
      </c>
      <c r="L20" s="24">
        <f t="shared" si="5"/>
        <v>254642.4</v>
      </c>
      <c r="M20" s="28">
        <f t="shared" si="6"/>
        <v>1766642.4</v>
      </c>
      <c r="N20" s="10" t="s">
        <v>279</v>
      </c>
    </row>
    <row r="21" spans="2:15" x14ac:dyDescent="0.25">
      <c r="B21" s="3" t="s">
        <v>191</v>
      </c>
      <c r="C21" s="3" t="s">
        <v>194</v>
      </c>
      <c r="D21" s="3" t="s">
        <v>226</v>
      </c>
      <c r="E21" s="16">
        <v>48</v>
      </c>
      <c r="F21" s="15">
        <v>6000</v>
      </c>
      <c r="G21" s="24">
        <f t="shared" si="0"/>
        <v>3456000</v>
      </c>
      <c r="H21" s="24">
        <f t="shared" si="1"/>
        <v>310348.79999999999</v>
      </c>
      <c r="I21" s="24">
        <f t="shared" si="2"/>
        <v>142041.60000000001</v>
      </c>
      <c r="J21" s="24">
        <f t="shared" si="3"/>
        <v>55296</v>
      </c>
      <c r="K21" s="24">
        <f t="shared" si="4"/>
        <v>207360</v>
      </c>
      <c r="L21" s="24">
        <f t="shared" si="5"/>
        <v>715046.40000000002</v>
      </c>
      <c r="M21" s="28">
        <f t="shared" si="6"/>
        <v>4171046.4</v>
      </c>
      <c r="N21" s="10" t="s">
        <v>279</v>
      </c>
    </row>
    <row r="22" spans="2:15" x14ac:dyDescent="0.25">
      <c r="B22" s="3" t="s">
        <v>191</v>
      </c>
      <c r="C22" s="3" t="s">
        <v>194</v>
      </c>
      <c r="D22" s="3" t="s">
        <v>236</v>
      </c>
      <c r="E22" s="16">
        <v>14</v>
      </c>
      <c r="F22" s="15">
        <v>7500</v>
      </c>
      <c r="G22" s="24">
        <f t="shared" si="0"/>
        <v>1260000</v>
      </c>
      <c r="H22" s="24">
        <f t="shared" si="1"/>
        <v>90518.400000000009</v>
      </c>
      <c r="I22" s="24">
        <f t="shared" si="2"/>
        <v>51786</v>
      </c>
      <c r="J22" s="24">
        <f t="shared" si="3"/>
        <v>20160</v>
      </c>
      <c r="K22" s="24">
        <f t="shared" si="4"/>
        <v>75600</v>
      </c>
      <c r="L22" s="24">
        <f t="shared" si="5"/>
        <v>238064.40000000002</v>
      </c>
      <c r="M22" s="28">
        <f t="shared" si="6"/>
        <v>1498064.4</v>
      </c>
      <c r="N22" s="10" t="s">
        <v>279</v>
      </c>
    </row>
    <row r="23" spans="2:15" x14ac:dyDescent="0.25">
      <c r="B23" s="58" t="s">
        <v>195</v>
      </c>
      <c r="C23" s="58"/>
      <c r="D23" s="58"/>
      <c r="E23" s="27">
        <f>SUM(E7:E22)</f>
        <v>589</v>
      </c>
      <c r="F23" s="29">
        <f>IFERROR(SUMPRODUCT(E7:E22,F7:F22)/E23,0)</f>
        <v>7082.0033955857389</v>
      </c>
      <c r="G23" s="29">
        <f t="shared" ref="G23:M23" si="7">SUM(G7:G22)</f>
        <v>50055600</v>
      </c>
      <c r="H23" s="29">
        <f t="shared" si="7"/>
        <v>3767181.8399999994</v>
      </c>
      <c r="I23" s="29">
        <f t="shared" si="7"/>
        <v>2057285.16</v>
      </c>
      <c r="J23" s="29">
        <f t="shared" si="7"/>
        <v>800889.6</v>
      </c>
      <c r="K23" s="29">
        <f t="shared" si="7"/>
        <v>3003336</v>
      </c>
      <c r="L23" s="29">
        <f t="shared" si="7"/>
        <v>9628692.5999999996</v>
      </c>
      <c r="M23" s="29">
        <f t="shared" si="7"/>
        <v>59684292.600000001</v>
      </c>
      <c r="N23" s="1"/>
    </row>
    <row r="26" spans="2:15" ht="15.75" x14ac:dyDescent="0.25">
      <c r="B26" s="59" t="s">
        <v>281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</row>
    <row r="27" spans="2:15" x14ac:dyDescent="0.25">
      <c r="B27" s="6" t="s">
        <v>215</v>
      </c>
      <c r="C27" s="6" t="s">
        <v>270</v>
      </c>
      <c r="D27" s="6" t="s">
        <v>282</v>
      </c>
      <c r="E27" s="6" t="s">
        <v>205</v>
      </c>
    </row>
    <row r="28" spans="2:15" x14ac:dyDescent="0.25">
      <c r="B28" s="7" t="s">
        <v>226</v>
      </c>
      <c r="C28" s="36">
        <f>SUMIF($D$7:$D$22,"Production",$E$7:$E$22)</f>
        <v>363</v>
      </c>
      <c r="D28" s="24">
        <f>SUMIF($D$7:$D$22,"Production",$M$7:$M$22)</f>
        <v>33803655.119999997</v>
      </c>
      <c r="E28" s="30">
        <f t="shared" ref="E28:E33" si="8">IFERROR(D28/COUT_EMPLOYEUR_TOTAL,0)</f>
        <v>0.56637439512854337</v>
      </c>
    </row>
    <row r="29" spans="2:15" x14ac:dyDescent="0.25">
      <c r="B29" s="7" t="s">
        <v>236</v>
      </c>
      <c r="C29" s="36">
        <f>SUMIF($D$7:$D$22,"Maintenance",$E$7:$E$22)</f>
        <v>54</v>
      </c>
      <c r="D29" s="24">
        <f>SUMIF($D$7:$D$22,"Maintenance",$M$7:$M$22)</f>
        <v>6145550.8800000008</v>
      </c>
      <c r="E29" s="30">
        <f t="shared" si="8"/>
        <v>0.10296764210957575</v>
      </c>
    </row>
    <row r="30" spans="2:15" x14ac:dyDescent="0.25">
      <c r="B30" s="7" t="s">
        <v>280</v>
      </c>
      <c r="C30" s="36">
        <f>SUMIF($D$7:$D$22,"Qualité",$E$7:$E$22)</f>
        <v>22</v>
      </c>
      <c r="D30" s="24">
        <f>SUMIF($D$7:$D$22,"Qualité",$M$7:$M$22)</f>
        <v>2761619.2800000003</v>
      </c>
      <c r="E30" s="30">
        <f t="shared" si="8"/>
        <v>4.627045340904317E-2</v>
      </c>
    </row>
    <row r="31" spans="2:15" x14ac:dyDescent="0.25">
      <c r="B31" s="7" t="s">
        <v>230</v>
      </c>
      <c r="C31" s="36">
        <f>SUMIF($D$7:$D$22,"Logistique",$E$7:$E$22)</f>
        <v>88</v>
      </c>
      <c r="D31" s="24">
        <f>SUMIF($D$7:$D$22,"Logistique",$M$7:$M$22)</f>
        <v>7095123.7200000007</v>
      </c>
      <c r="E31" s="30">
        <f t="shared" si="8"/>
        <v>0.11887757081332988</v>
      </c>
    </row>
    <row r="32" spans="2:15" x14ac:dyDescent="0.25">
      <c r="B32" s="7" t="s">
        <v>243</v>
      </c>
      <c r="C32" s="36">
        <f>SUMIF($D$7:$D$22,"Commercial",$E$7:$E$22)</f>
        <v>26</v>
      </c>
      <c r="D32" s="24">
        <f>SUMIF($D$7:$D$22,"Commercial",$M$7:$M$22)</f>
        <v>4417554</v>
      </c>
      <c r="E32" s="30">
        <f t="shared" si="8"/>
        <v>7.4015353245553916E-2</v>
      </c>
    </row>
    <row r="33" spans="1:14" x14ac:dyDescent="0.25">
      <c r="B33" s="7" t="s">
        <v>232</v>
      </c>
      <c r="C33" s="36">
        <f>SUMIF($D$7:$D$22,"Admin/Finance",$E$7:$E$22)</f>
        <v>36</v>
      </c>
      <c r="D33" s="24">
        <f>SUMIF($D$7:$D$22,"Admin/Finance",$M$7:$M$22)</f>
        <v>5460789.5999999996</v>
      </c>
      <c r="E33" s="30">
        <f t="shared" si="8"/>
        <v>9.1494585293953865E-2</v>
      </c>
    </row>
    <row r="36" spans="1:14" ht="18" customHeight="1" x14ac:dyDescent="0.25">
      <c r="A36" s="60" t="s">
        <v>50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</row>
  </sheetData>
  <mergeCells count="4">
    <mergeCell ref="B1:O1"/>
    <mergeCell ref="B23:D23"/>
    <mergeCell ref="B26:O26"/>
    <mergeCell ref="A36:N3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B004B"/>
  </sheetPr>
  <dimension ref="A1:G76"/>
  <sheetViews>
    <sheetView showGridLines="0" zoomScaleNormal="100" workbookViewId="0">
      <pane xSplit="2" ySplit="5" topLeftCell="C50" activePane="bottomRight" state="frozen"/>
      <selection pane="topRight" activeCell="C1" sqref="C1"/>
      <selection pane="bottomLeft" activeCell="A6" sqref="A6"/>
      <selection pane="bottomRight" activeCell="F4" sqref="F4"/>
    </sheetView>
  </sheetViews>
  <sheetFormatPr baseColWidth="10" defaultColWidth="8.7109375" defaultRowHeight="15" x14ac:dyDescent="0.25"/>
  <cols>
    <col min="1" max="1" width="4" customWidth="1"/>
    <col min="2" max="2" width="8" customWidth="1"/>
    <col min="3" max="3" width="50" customWidth="1"/>
    <col min="4" max="6" width="20.140625" customWidth="1"/>
    <col min="7" max="7" width="16" customWidth="1"/>
  </cols>
  <sheetData>
    <row r="1" spans="2:7" ht="36" customHeight="1" x14ac:dyDescent="0.25">
      <c r="B1" s="61" t="s">
        <v>283</v>
      </c>
      <c r="C1" s="61"/>
      <c r="D1" s="61"/>
      <c r="E1" s="61"/>
      <c r="F1" s="61"/>
      <c r="G1" s="61"/>
    </row>
    <row r="3" spans="2:7" x14ac:dyDescent="0.25">
      <c r="B3" s="4" t="s">
        <v>284</v>
      </c>
    </row>
    <row r="5" spans="2:7" ht="27.75" customHeight="1" x14ac:dyDescent="0.25">
      <c r="B5" s="6" t="s">
        <v>202</v>
      </c>
      <c r="C5" s="6" t="s">
        <v>203</v>
      </c>
      <c r="D5" s="6" t="s">
        <v>216</v>
      </c>
      <c r="E5" s="6" t="s">
        <v>217</v>
      </c>
      <c r="F5" s="6" t="s">
        <v>285</v>
      </c>
      <c r="G5" s="6" t="s">
        <v>219</v>
      </c>
    </row>
    <row r="6" spans="2:7" x14ac:dyDescent="0.25">
      <c r="B6" s="37"/>
      <c r="C6" s="38" t="s">
        <v>286</v>
      </c>
      <c r="D6" s="37"/>
      <c r="E6" s="37"/>
      <c r="F6" s="37"/>
      <c r="G6" s="37"/>
    </row>
    <row r="7" spans="2:7" x14ac:dyDescent="0.25">
      <c r="B7" s="10" t="s">
        <v>287</v>
      </c>
      <c r="C7" s="3" t="s">
        <v>288</v>
      </c>
      <c r="D7" s="15">
        <v>195000000</v>
      </c>
      <c r="E7" s="15">
        <v>215000000</v>
      </c>
      <c r="F7" s="39">
        <f>SUMIF('3_Drivers_CA'!$E$41:$E$52,"7111",'3_Drivers_CA'!$R$41:$R$52)</f>
        <v>133783492</v>
      </c>
      <c r="G7" s="30">
        <f t="shared" ref="G7:G13" si="0">IFERROR((F7-E7)/E7,0)</f>
        <v>-0.37775120000000001</v>
      </c>
    </row>
    <row r="8" spans="2:7" x14ac:dyDescent="0.25">
      <c r="B8" s="10" t="s">
        <v>289</v>
      </c>
      <c r="C8" s="3" t="s">
        <v>290</v>
      </c>
      <c r="D8" s="15">
        <v>85000000</v>
      </c>
      <c r="E8" s="15">
        <v>92000000</v>
      </c>
      <c r="F8" s="39">
        <f>SUMIF('3_Drivers_CA'!$E$41:$E$52,"7112",'3_Drivers_CA'!$R$41:$R$52)</f>
        <v>44508080</v>
      </c>
      <c r="G8" s="30">
        <f t="shared" si="0"/>
        <v>-0.51621652173913046</v>
      </c>
    </row>
    <row r="9" spans="2:7" x14ac:dyDescent="0.25">
      <c r="B9" s="10" t="s">
        <v>291</v>
      </c>
      <c r="C9" s="3" t="s">
        <v>292</v>
      </c>
      <c r="D9" s="15">
        <v>1200000</v>
      </c>
      <c r="E9" s="15">
        <v>1500000</v>
      </c>
      <c r="F9" s="15">
        <v>1800000</v>
      </c>
      <c r="G9" s="30">
        <f t="shared" si="0"/>
        <v>0.2</v>
      </c>
    </row>
    <row r="10" spans="2:7" x14ac:dyDescent="0.25">
      <c r="B10" s="10" t="s">
        <v>293</v>
      </c>
      <c r="C10" s="3" t="s">
        <v>294</v>
      </c>
      <c r="D10" s="15">
        <v>0</v>
      </c>
      <c r="E10" s="15">
        <v>0</v>
      </c>
      <c r="F10" s="15">
        <v>500000</v>
      </c>
      <c r="G10" s="30">
        <f t="shared" si="0"/>
        <v>0</v>
      </c>
    </row>
    <row r="11" spans="2:7" x14ac:dyDescent="0.25">
      <c r="B11" s="10" t="s">
        <v>295</v>
      </c>
      <c r="C11" s="3" t="s">
        <v>296</v>
      </c>
      <c r="D11" s="15">
        <v>850000</v>
      </c>
      <c r="E11" s="15">
        <v>920000</v>
      </c>
      <c r="F11" s="15">
        <v>950000</v>
      </c>
      <c r="G11" s="30">
        <f t="shared" si="0"/>
        <v>3.2608695652173912E-2</v>
      </c>
    </row>
    <row r="12" spans="2:7" x14ac:dyDescent="0.25">
      <c r="B12" s="10" t="s">
        <v>297</v>
      </c>
      <c r="C12" s="3" t="s">
        <v>298</v>
      </c>
      <c r="D12" s="15">
        <v>320000</v>
      </c>
      <c r="E12" s="15">
        <v>280000</v>
      </c>
      <c r="F12" s="15">
        <v>250000</v>
      </c>
      <c r="G12" s="30">
        <f t="shared" si="0"/>
        <v>-0.10714285714285714</v>
      </c>
    </row>
    <row r="13" spans="2:7" x14ac:dyDescent="0.25">
      <c r="B13" s="19" t="s">
        <v>299</v>
      </c>
      <c r="C13" s="7" t="s">
        <v>300</v>
      </c>
      <c r="D13" s="28">
        <f>SUM(D7:D12)</f>
        <v>282370000</v>
      </c>
      <c r="E13" s="28">
        <f>SUM(E7:E12)</f>
        <v>309700000</v>
      </c>
      <c r="F13" s="28">
        <f>SUM(F7:F12)</f>
        <v>181791572</v>
      </c>
      <c r="G13" s="40">
        <f t="shared" si="0"/>
        <v>-0.41300751695188892</v>
      </c>
    </row>
    <row r="15" spans="2:7" x14ac:dyDescent="0.25">
      <c r="B15" s="37"/>
      <c r="C15" s="38" t="s">
        <v>301</v>
      </c>
      <c r="D15" s="37"/>
      <c r="E15" s="37"/>
      <c r="F15" s="37"/>
      <c r="G15" s="37"/>
    </row>
    <row r="16" spans="2:7" x14ac:dyDescent="0.25">
      <c r="B16" s="10" t="s">
        <v>302</v>
      </c>
      <c r="C16" s="3" t="s">
        <v>303</v>
      </c>
      <c r="D16" s="15">
        <v>145000000</v>
      </c>
      <c r="E16" s="15">
        <v>158000000</v>
      </c>
      <c r="F16" s="15">
        <v>168000000</v>
      </c>
      <c r="G16" s="30">
        <f t="shared" ref="G16:G23" si="1">IFERROR((F16-E16)/E16,0)</f>
        <v>6.3291139240506333E-2</v>
      </c>
    </row>
    <row r="17" spans="2:7" x14ac:dyDescent="0.25">
      <c r="B17" s="10" t="s">
        <v>304</v>
      </c>
      <c r="C17" s="3" t="s">
        <v>305</v>
      </c>
      <c r="D17" s="15">
        <v>35000000</v>
      </c>
      <c r="E17" s="15">
        <v>39000000</v>
      </c>
      <c r="F17" s="15">
        <v>42000000</v>
      </c>
      <c r="G17" s="30">
        <f t="shared" si="1"/>
        <v>7.6923076923076927E-2</v>
      </c>
    </row>
    <row r="18" spans="2:7" x14ac:dyDescent="0.25">
      <c r="B18" s="10" t="s">
        <v>306</v>
      </c>
      <c r="C18" s="3" t="s">
        <v>307</v>
      </c>
      <c r="D18" s="39">
        <f>ZBB_REEL_NM1</f>
        <v>6973000</v>
      </c>
      <c r="E18" s="39">
        <f>ZBB_REEL_N</f>
        <v>7480000</v>
      </c>
      <c r="F18" s="39">
        <f>ZBB_BUDGET_NPLUS1</f>
        <v>7756000</v>
      </c>
      <c r="G18" s="30">
        <f t="shared" si="1"/>
        <v>3.6898395721925131E-2</v>
      </c>
    </row>
    <row r="19" spans="2:7" x14ac:dyDescent="0.25">
      <c r="B19" s="10" t="s">
        <v>308</v>
      </c>
      <c r="C19" s="3" t="s">
        <v>309</v>
      </c>
      <c r="D19" s="15">
        <v>850000</v>
      </c>
      <c r="E19" s="15">
        <v>920000</v>
      </c>
      <c r="F19" s="15">
        <v>980000</v>
      </c>
      <c r="G19" s="30">
        <f t="shared" si="1"/>
        <v>6.5217391304347824E-2</v>
      </c>
    </row>
    <row r="20" spans="2:7" x14ac:dyDescent="0.25">
      <c r="B20" s="10" t="s">
        <v>310</v>
      </c>
      <c r="C20" s="3" t="s">
        <v>311</v>
      </c>
      <c r="D20" s="15">
        <v>28500000</v>
      </c>
      <c r="E20" s="15">
        <v>31200000</v>
      </c>
      <c r="F20" s="39">
        <f>COUT_EMPLOYEUR_TOTAL</f>
        <v>59684292.600000001</v>
      </c>
      <c r="G20" s="30">
        <f t="shared" si="1"/>
        <v>0.91295809615384615</v>
      </c>
    </row>
    <row r="21" spans="2:7" x14ac:dyDescent="0.25">
      <c r="B21" s="10" t="s">
        <v>312</v>
      </c>
      <c r="C21" s="3" t="s">
        <v>313</v>
      </c>
      <c r="D21" s="15">
        <v>420000</v>
      </c>
      <c r="E21" s="15">
        <v>450000</v>
      </c>
      <c r="F21" s="15">
        <v>480000</v>
      </c>
      <c r="G21" s="30">
        <f t="shared" si="1"/>
        <v>6.6666666666666666E-2</v>
      </c>
    </row>
    <row r="22" spans="2:7" x14ac:dyDescent="0.25">
      <c r="B22" s="10" t="s">
        <v>314</v>
      </c>
      <c r="C22" s="3" t="s">
        <v>315</v>
      </c>
      <c r="D22" s="15">
        <v>8500000</v>
      </c>
      <c r="E22" s="15">
        <v>9200000</v>
      </c>
      <c r="F22" s="15">
        <v>9800000</v>
      </c>
      <c r="G22" s="30">
        <f t="shared" si="1"/>
        <v>6.5217391304347824E-2</v>
      </c>
    </row>
    <row r="23" spans="2:7" x14ac:dyDescent="0.25">
      <c r="B23" s="19" t="s">
        <v>316</v>
      </c>
      <c r="C23" s="7" t="s">
        <v>317</v>
      </c>
      <c r="D23" s="28">
        <f>SUM(D16:D22)</f>
        <v>225243000</v>
      </c>
      <c r="E23" s="28">
        <f>SUM(E16:E22)</f>
        <v>246250000</v>
      </c>
      <c r="F23" s="28">
        <f>SUM(F16:F22)</f>
        <v>288700292.60000002</v>
      </c>
      <c r="G23" s="40">
        <f t="shared" si="1"/>
        <v>0.17238697502538081</v>
      </c>
    </row>
    <row r="25" spans="2:7" x14ac:dyDescent="0.25">
      <c r="B25" s="19" t="s">
        <v>318</v>
      </c>
      <c r="C25" s="7" t="s">
        <v>319</v>
      </c>
      <c r="D25" s="28">
        <f>D13-D23</f>
        <v>57127000</v>
      </c>
      <c r="E25" s="28">
        <f>E13-E23</f>
        <v>63450000</v>
      </c>
      <c r="F25" s="28">
        <f>F13-F23</f>
        <v>-106908720.60000002</v>
      </c>
      <c r="G25" s="40">
        <f>IFERROR((F25-E25)/E25,0)</f>
        <v>-2.6849286146572107</v>
      </c>
    </row>
    <row r="27" spans="2:7" x14ac:dyDescent="0.25">
      <c r="B27" s="37"/>
      <c r="C27" s="38" t="s">
        <v>320</v>
      </c>
      <c r="D27" s="37"/>
      <c r="E27" s="37"/>
      <c r="F27" s="37"/>
      <c r="G27" s="37"/>
    </row>
    <row r="28" spans="2:7" x14ac:dyDescent="0.25">
      <c r="B28" s="10" t="s">
        <v>321</v>
      </c>
      <c r="C28" s="3" t="s">
        <v>322</v>
      </c>
      <c r="D28" s="15">
        <v>0</v>
      </c>
      <c r="E28" s="15">
        <v>0</v>
      </c>
      <c r="F28" s="15">
        <v>0</v>
      </c>
      <c r="G28" s="30">
        <f>IFERROR((F28-E28)/E28,0)</f>
        <v>0</v>
      </c>
    </row>
    <row r="29" spans="2:7" x14ac:dyDescent="0.25">
      <c r="B29" s="10" t="s">
        <v>323</v>
      </c>
      <c r="C29" s="3" t="s">
        <v>324</v>
      </c>
      <c r="D29" s="15">
        <v>280000</v>
      </c>
      <c r="E29" s="15">
        <v>320000</v>
      </c>
      <c r="F29" s="15">
        <v>350000</v>
      </c>
      <c r="G29" s="30">
        <f>IFERROR((F29-E29)/E29,0)</f>
        <v>9.375E-2</v>
      </c>
    </row>
    <row r="30" spans="2:7" x14ac:dyDescent="0.25">
      <c r="B30" s="10" t="s">
        <v>325</v>
      </c>
      <c r="C30" s="3" t="s">
        <v>326</v>
      </c>
      <c r="D30" s="15">
        <v>145000</v>
      </c>
      <c r="E30" s="15">
        <v>160000</v>
      </c>
      <c r="F30" s="15">
        <v>175000</v>
      </c>
      <c r="G30" s="30">
        <f>IFERROR((F30-E30)/E30,0)</f>
        <v>9.375E-2</v>
      </c>
    </row>
    <row r="31" spans="2:7" x14ac:dyDescent="0.25">
      <c r="B31" s="10" t="s">
        <v>327</v>
      </c>
      <c r="C31" s="3" t="s">
        <v>328</v>
      </c>
      <c r="D31" s="15">
        <v>50000</v>
      </c>
      <c r="E31" s="15">
        <v>0</v>
      </c>
      <c r="F31" s="15">
        <v>0</v>
      </c>
      <c r="G31" s="30">
        <f>IFERROR((F31-E31)/E31,0)</f>
        <v>0</v>
      </c>
    </row>
    <row r="32" spans="2:7" x14ac:dyDescent="0.25">
      <c r="B32" s="19" t="s">
        <v>329</v>
      </c>
      <c r="C32" s="7" t="s">
        <v>330</v>
      </c>
      <c r="D32" s="28">
        <f>SUM(D28:D31)</f>
        <v>475000</v>
      </c>
      <c r="E32" s="28">
        <f>SUM(E28:E31)</f>
        <v>480000</v>
      </c>
      <c r="F32" s="28">
        <f>SUM(F28:F31)</f>
        <v>525000</v>
      </c>
      <c r="G32" s="40">
        <f>IFERROR((F32-E32)/E32,0)</f>
        <v>9.375E-2</v>
      </c>
    </row>
    <row r="34" spans="2:7" x14ac:dyDescent="0.25">
      <c r="B34" s="37"/>
      <c r="C34" s="38" t="s">
        <v>331</v>
      </c>
      <c r="D34" s="37"/>
      <c r="E34" s="37"/>
      <c r="F34" s="37"/>
      <c r="G34" s="37"/>
    </row>
    <row r="35" spans="2:7" x14ac:dyDescent="0.25">
      <c r="B35" s="10" t="s">
        <v>332</v>
      </c>
      <c r="C35" s="3" t="s">
        <v>333</v>
      </c>
      <c r="D35" s="15">
        <v>1850000</v>
      </c>
      <c r="E35" s="15">
        <v>2050000</v>
      </c>
      <c r="F35" s="15">
        <v>2200000</v>
      </c>
      <c r="G35" s="30">
        <f>IFERROR((F35-E35)/E35,0)</f>
        <v>7.3170731707317069E-2</v>
      </c>
    </row>
    <row r="36" spans="2:7" x14ac:dyDescent="0.25">
      <c r="B36" s="10" t="s">
        <v>334</v>
      </c>
      <c r="C36" s="3" t="s">
        <v>335</v>
      </c>
      <c r="D36" s="15">
        <v>320000</v>
      </c>
      <c r="E36" s="15">
        <v>380000</v>
      </c>
      <c r="F36" s="15">
        <v>400000</v>
      </c>
      <c r="G36" s="30">
        <f>IFERROR((F36-E36)/E36,0)</f>
        <v>5.2631578947368418E-2</v>
      </c>
    </row>
    <row r="37" spans="2:7" x14ac:dyDescent="0.25">
      <c r="B37" s="10" t="s">
        <v>336</v>
      </c>
      <c r="C37" s="3" t="s">
        <v>337</v>
      </c>
      <c r="D37" s="15">
        <v>75000</v>
      </c>
      <c r="E37" s="15">
        <v>80000</v>
      </c>
      <c r="F37" s="15">
        <v>85000</v>
      </c>
      <c r="G37" s="30">
        <f>IFERROR((F37-E37)/E37,0)</f>
        <v>6.25E-2</v>
      </c>
    </row>
    <row r="38" spans="2:7" x14ac:dyDescent="0.25">
      <c r="B38" s="10" t="s">
        <v>338</v>
      </c>
      <c r="C38" s="3" t="s">
        <v>339</v>
      </c>
      <c r="D38" s="15">
        <v>0</v>
      </c>
      <c r="E38" s="15">
        <v>0</v>
      </c>
      <c r="F38" s="15">
        <v>50000</v>
      </c>
      <c r="G38" s="30">
        <f>IFERROR((F38-E38)/E38,0)</f>
        <v>0</v>
      </c>
    </row>
    <row r="39" spans="2:7" x14ac:dyDescent="0.25">
      <c r="B39" s="19" t="s">
        <v>340</v>
      </c>
      <c r="C39" s="7" t="s">
        <v>341</v>
      </c>
      <c r="D39" s="28">
        <f>SUM(D35:D38)</f>
        <v>2245000</v>
      </c>
      <c r="E39" s="28">
        <f>SUM(E35:E38)</f>
        <v>2510000</v>
      </c>
      <c r="F39" s="28">
        <f>SUM(F35:F38)</f>
        <v>2735000</v>
      </c>
      <c r="G39" s="40">
        <f>IFERROR((F39-E39)/E39,0)</f>
        <v>8.9641434262948211E-2</v>
      </c>
    </row>
    <row r="41" spans="2:7" x14ac:dyDescent="0.25">
      <c r="B41" s="19" t="s">
        <v>342</v>
      </c>
      <c r="C41" s="7" t="s">
        <v>343</v>
      </c>
      <c r="D41" s="28">
        <f>D32-D39</f>
        <v>-1770000</v>
      </c>
      <c r="E41" s="28">
        <f>E32-E39</f>
        <v>-2030000</v>
      </c>
      <c r="F41" s="28">
        <f>F32-F39</f>
        <v>-2210000</v>
      </c>
      <c r="G41" s="40">
        <f>IFERROR((F41-E41)/E41,0)</f>
        <v>8.8669950738916259E-2</v>
      </c>
    </row>
    <row r="43" spans="2:7" x14ac:dyDescent="0.25">
      <c r="B43" s="19" t="s">
        <v>344</v>
      </c>
      <c r="C43" s="7" t="s">
        <v>345</v>
      </c>
      <c r="D43" s="28">
        <f>D25+D41</f>
        <v>55357000</v>
      </c>
      <c r="E43" s="28">
        <f>E25+E41</f>
        <v>61420000</v>
      </c>
      <c r="F43" s="28">
        <f>F25+F41</f>
        <v>-109118720.60000002</v>
      </c>
      <c r="G43" s="40">
        <f>IFERROR((F43-E43)/E43,0)</f>
        <v>-2.7765991631390432</v>
      </c>
    </row>
    <row r="45" spans="2:7" x14ac:dyDescent="0.25">
      <c r="B45" s="37"/>
      <c r="C45" s="38" t="s">
        <v>346</v>
      </c>
      <c r="D45" s="37"/>
      <c r="E45" s="37"/>
      <c r="F45" s="37"/>
      <c r="G45" s="37"/>
    </row>
    <row r="46" spans="2:7" x14ac:dyDescent="0.25">
      <c r="B46" s="10" t="s">
        <v>347</v>
      </c>
      <c r="C46" s="3" t="s">
        <v>348</v>
      </c>
      <c r="D46" s="15">
        <v>0</v>
      </c>
      <c r="E46" s="15">
        <v>250000</v>
      </c>
      <c r="F46" s="15">
        <v>0</v>
      </c>
      <c r="G46" s="30">
        <f>IFERROR((F46-E46)/E46,0)</f>
        <v>-1</v>
      </c>
    </row>
    <row r="47" spans="2:7" x14ac:dyDescent="0.25">
      <c r="B47" s="10" t="s">
        <v>349</v>
      </c>
      <c r="C47" s="3" t="s">
        <v>350</v>
      </c>
      <c r="D47" s="15">
        <v>0</v>
      </c>
      <c r="E47" s="15">
        <v>0</v>
      </c>
      <c r="F47" s="15">
        <v>0</v>
      </c>
      <c r="G47" s="30">
        <f>IFERROR((F47-E47)/E47,0)</f>
        <v>0</v>
      </c>
    </row>
    <row r="48" spans="2:7" x14ac:dyDescent="0.25">
      <c r="B48" s="10" t="s">
        <v>351</v>
      </c>
      <c r="C48" s="3" t="s">
        <v>352</v>
      </c>
      <c r="D48" s="15">
        <v>0</v>
      </c>
      <c r="E48" s="15">
        <v>0</v>
      </c>
      <c r="F48" s="15">
        <v>0</v>
      </c>
      <c r="G48" s="30">
        <f>IFERROR((F48-E48)/E48,0)</f>
        <v>0</v>
      </c>
    </row>
    <row r="49" spans="2:7" x14ac:dyDescent="0.25">
      <c r="B49" s="19" t="s">
        <v>353</v>
      </c>
      <c r="C49" s="7" t="s">
        <v>354</v>
      </c>
      <c r="D49" s="28">
        <f>SUM(D46:D48)</f>
        <v>0</v>
      </c>
      <c r="E49" s="28">
        <f>SUM(E46:E48)</f>
        <v>250000</v>
      </c>
      <c r="F49" s="28">
        <f>SUM(F46:F48)</f>
        <v>0</v>
      </c>
      <c r="G49" s="40">
        <f>IFERROR((F49-E49)/E49,0)</f>
        <v>-1</v>
      </c>
    </row>
    <row r="51" spans="2:7" x14ac:dyDescent="0.25">
      <c r="B51" s="37"/>
      <c r="C51" s="38" t="s">
        <v>355</v>
      </c>
      <c r="D51" s="37"/>
      <c r="E51" s="37"/>
      <c r="F51" s="37"/>
      <c r="G51" s="37"/>
    </row>
    <row r="52" spans="2:7" x14ac:dyDescent="0.25">
      <c r="B52" s="10" t="s">
        <v>356</v>
      </c>
      <c r="C52" s="3" t="s">
        <v>357</v>
      </c>
      <c r="D52" s="15">
        <v>0</v>
      </c>
      <c r="E52" s="15">
        <v>180000</v>
      </c>
      <c r="F52" s="15">
        <v>0</v>
      </c>
      <c r="G52" s="30">
        <f>IFERROR((F52-E52)/E52,0)</f>
        <v>-1</v>
      </c>
    </row>
    <row r="53" spans="2:7" x14ac:dyDescent="0.25">
      <c r="B53" s="10" t="s">
        <v>358</v>
      </c>
      <c r="C53" s="3" t="s">
        <v>359</v>
      </c>
      <c r="D53" s="15">
        <v>0</v>
      </c>
      <c r="E53" s="15">
        <v>0</v>
      </c>
      <c r="F53" s="15">
        <v>0</v>
      </c>
      <c r="G53" s="30">
        <f>IFERROR((F53-E53)/E53,0)</f>
        <v>0</v>
      </c>
    </row>
    <row r="54" spans="2:7" x14ac:dyDescent="0.25">
      <c r="B54" s="10" t="s">
        <v>360</v>
      </c>
      <c r="C54" s="3" t="s">
        <v>361</v>
      </c>
      <c r="D54" s="15">
        <v>50000</v>
      </c>
      <c r="E54" s="15">
        <v>0</v>
      </c>
      <c r="F54" s="15">
        <v>0</v>
      </c>
      <c r="G54" s="30">
        <f>IFERROR((F54-E54)/E54,0)</f>
        <v>0</v>
      </c>
    </row>
    <row r="55" spans="2:7" x14ac:dyDescent="0.25">
      <c r="B55" s="19" t="s">
        <v>362</v>
      </c>
      <c r="C55" s="7" t="s">
        <v>363</v>
      </c>
      <c r="D55" s="28">
        <f>SUM(D52:D54)</f>
        <v>50000</v>
      </c>
      <c r="E55" s="28">
        <f>SUM(E52:E54)</f>
        <v>180000</v>
      </c>
      <c r="F55" s="28">
        <f>SUM(F52:F54)</f>
        <v>0</v>
      </c>
      <c r="G55" s="40">
        <f>IFERROR((F55-E55)/E55,0)</f>
        <v>-1</v>
      </c>
    </row>
    <row r="57" spans="2:7" x14ac:dyDescent="0.25">
      <c r="B57" s="19" t="s">
        <v>364</v>
      </c>
      <c r="C57" s="7" t="s">
        <v>365</v>
      </c>
      <c r="D57" s="28">
        <f>D49-D55</f>
        <v>-50000</v>
      </c>
      <c r="E57" s="28">
        <f>E49-E55</f>
        <v>70000</v>
      </c>
      <c r="F57" s="28">
        <f>F49-F55</f>
        <v>0</v>
      </c>
      <c r="G57" s="40">
        <f>IFERROR((F57-E57)/E57,0)</f>
        <v>-1</v>
      </c>
    </row>
    <row r="59" spans="2:7" x14ac:dyDescent="0.25">
      <c r="B59" s="19" t="s">
        <v>366</v>
      </c>
      <c r="C59" s="7" t="s">
        <v>367</v>
      </c>
      <c r="D59" s="28">
        <f>D43+D57</f>
        <v>55307000</v>
      </c>
      <c r="E59" s="28">
        <f>E43+E57</f>
        <v>61490000</v>
      </c>
      <c r="F59" s="28">
        <f>F43+F57</f>
        <v>-109118720.60000002</v>
      </c>
      <c r="G59" s="40">
        <f>IFERROR((F59-E59)/E59,0)</f>
        <v>-2.7745766888925032</v>
      </c>
    </row>
    <row r="61" spans="2:7" x14ac:dyDescent="0.25">
      <c r="B61" s="37"/>
      <c r="C61" s="38" t="s">
        <v>368</v>
      </c>
      <c r="D61" s="37"/>
      <c r="E61" s="37"/>
      <c r="F61" s="37"/>
      <c r="G61" s="37"/>
    </row>
    <row r="62" spans="2:7" x14ac:dyDescent="0.25">
      <c r="B62" s="10" t="s">
        <v>369</v>
      </c>
      <c r="C62" s="3" t="s">
        <v>370</v>
      </c>
      <c r="D62" s="24">
        <f>MAX(0,D59)*TAUX_IS</f>
        <v>12582342.5</v>
      </c>
      <c r="E62" s="24">
        <f>MAX(0,E59)*TAUX_IS</f>
        <v>13988975</v>
      </c>
      <c r="F62" s="23">
        <f>MAX(0,F59)*TAUX_IS</f>
        <v>0</v>
      </c>
      <c r="G62" s="30">
        <f>IFERROR((F62-E62)/E62,0)</f>
        <v>-1</v>
      </c>
    </row>
    <row r="63" spans="2:7" x14ac:dyDescent="0.25">
      <c r="B63" s="10" t="s">
        <v>371</v>
      </c>
      <c r="C63" s="3" t="s">
        <v>372</v>
      </c>
      <c r="D63" s="24">
        <f>MAX((D7+D8)*TAUX_CM,CM_PLANCHER)</f>
        <v>700000</v>
      </c>
      <c r="E63" s="24">
        <f>MAX((E7+E8)*TAUX_CM,CM_PLANCHER)</f>
        <v>767500</v>
      </c>
      <c r="F63" s="23">
        <f>MAX((F7+F8)*TAUX_CM,CM_PLANCHER)</f>
        <v>445728.93</v>
      </c>
      <c r="G63" s="30">
        <f>IFERROR((F63-E63)/E63,0)</f>
        <v>-0.4192456938110749</v>
      </c>
    </row>
    <row r="64" spans="2:7" x14ac:dyDescent="0.25">
      <c r="B64" s="19" t="s">
        <v>373</v>
      </c>
      <c r="C64" s="7" t="s">
        <v>374</v>
      </c>
      <c r="D64" s="28">
        <f>MAX(D62,D63)</f>
        <v>12582342.5</v>
      </c>
      <c r="E64" s="28">
        <f>MAX(E62,E63)</f>
        <v>13988975</v>
      </c>
      <c r="F64" s="28">
        <f>MAX(F62,F63)</f>
        <v>445728.93</v>
      </c>
      <c r="G64" s="40">
        <f>IFERROR((F64-E64)/E64,0)</f>
        <v>-0.96813712727344214</v>
      </c>
    </row>
    <row r="66" spans="1:7" ht="27.75" customHeight="1" x14ac:dyDescent="0.25">
      <c r="B66" s="19" t="s">
        <v>375</v>
      </c>
      <c r="C66" s="7" t="s">
        <v>376</v>
      </c>
      <c r="D66" s="28">
        <f>D59-D64</f>
        <v>42724657.5</v>
      </c>
      <c r="E66" s="28">
        <f>E59-E64</f>
        <v>47501025</v>
      </c>
      <c r="F66" s="28">
        <f>F59-F64</f>
        <v>-109564449.53000003</v>
      </c>
      <c r="G66" s="40">
        <f>IFERROR((F66-E66)/E66,0)</f>
        <v>-3.3065702167479549</v>
      </c>
    </row>
    <row r="68" spans="1:7" x14ac:dyDescent="0.25">
      <c r="B68" s="37"/>
      <c r="C68" s="38" t="s">
        <v>377</v>
      </c>
      <c r="D68" s="37"/>
      <c r="E68" s="37"/>
      <c r="F68" s="37"/>
      <c r="G68" s="37"/>
    </row>
    <row r="69" spans="1:7" x14ac:dyDescent="0.25">
      <c r="B69" s="19" t="s">
        <v>378</v>
      </c>
      <c r="C69" s="7" t="s">
        <v>379</v>
      </c>
      <c r="D69" s="28">
        <f>(D7+D8)-(D16+D17)</f>
        <v>100000000</v>
      </c>
      <c r="E69" s="28">
        <f>(E7+E8)-(E16+E17)</f>
        <v>110000000</v>
      </c>
      <c r="F69" s="28">
        <f>(F7+F8)-(F16+F17)</f>
        <v>-31708428</v>
      </c>
      <c r="G69" s="40">
        <f>IFERROR((F69-E69)/E69,0)</f>
        <v>-1.2882584363636365</v>
      </c>
    </row>
    <row r="70" spans="1:7" x14ac:dyDescent="0.25">
      <c r="B70" s="19" t="s">
        <v>380</v>
      </c>
      <c r="C70" s="7" t="s">
        <v>381</v>
      </c>
      <c r="D70" s="30">
        <f>IFERROR(D69/(D7+D8),0)</f>
        <v>0.35714285714285715</v>
      </c>
      <c r="E70" s="30">
        <f>IFERROR(E69/(E7+E8),0)</f>
        <v>0.35830618892508143</v>
      </c>
      <c r="F70" s="30">
        <f>IFERROR(F69/(F7+F8),0)</f>
        <v>-0.17784591635099836</v>
      </c>
      <c r="G70" s="7"/>
    </row>
    <row r="71" spans="1:7" x14ac:dyDescent="0.25">
      <c r="B71" s="19" t="s">
        <v>117</v>
      </c>
      <c r="C71" s="7" t="s">
        <v>382</v>
      </c>
      <c r="D71" s="28">
        <f>D25+D22</f>
        <v>65627000</v>
      </c>
      <c r="E71" s="28">
        <f>E25+E22</f>
        <v>72650000</v>
      </c>
      <c r="F71" s="28">
        <f>F25+F22</f>
        <v>-97108720.600000024</v>
      </c>
      <c r="G71" s="40">
        <f>IFERROR((F71-E71)/E71,0)</f>
        <v>-2.3366651149346183</v>
      </c>
    </row>
    <row r="72" spans="1:7" x14ac:dyDescent="0.25">
      <c r="B72" s="19" t="s">
        <v>383</v>
      </c>
      <c r="C72" s="7" t="s">
        <v>118</v>
      </c>
      <c r="D72" s="30">
        <f>IFERROR(D71/(D7+D8),0)</f>
        <v>0.23438214285714284</v>
      </c>
      <c r="E72" s="30">
        <f>IFERROR(E71/(E7+E8),0)</f>
        <v>0.23664495114006515</v>
      </c>
      <c r="F72" s="30">
        <f>IFERROR(F71/(F7+F8),0)</f>
        <v>-0.54466242857514335</v>
      </c>
      <c r="G72" s="7"/>
    </row>
    <row r="73" spans="1:7" x14ac:dyDescent="0.25">
      <c r="B73" s="19" t="s">
        <v>384</v>
      </c>
      <c r="C73" s="7" t="s">
        <v>385</v>
      </c>
      <c r="D73" s="30">
        <f>IFERROR(D66/(D7+D8),0)</f>
        <v>0.15258806250000001</v>
      </c>
      <c r="E73" s="30">
        <f>IFERROR(E66/(E7+E8),0)</f>
        <v>0.15472646579804561</v>
      </c>
      <c r="F73" s="30">
        <f>IFERROR(F66/(F7+F8),0)</f>
        <v>-0.61452399741026476</v>
      </c>
      <c r="G73" s="7"/>
    </row>
    <row r="76" spans="1:7" ht="18" customHeight="1" x14ac:dyDescent="0.25">
      <c r="A76" s="60" t="s">
        <v>50</v>
      </c>
      <c r="B76" s="60"/>
      <c r="C76" s="60"/>
      <c r="D76" s="60"/>
      <c r="E76" s="60"/>
      <c r="F76" s="60"/>
      <c r="G76" s="60"/>
    </row>
  </sheetData>
  <mergeCells count="2">
    <mergeCell ref="B1:G1"/>
    <mergeCell ref="A76:G7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4B"/>
  </sheetPr>
  <dimension ref="A1:F68"/>
  <sheetViews>
    <sheetView showGridLines="0" zoomScaleNormal="100" workbookViewId="0">
      <pane xSplit="2" ySplit="5" topLeftCell="C42" activePane="bottomRight" state="frozen"/>
      <selection pane="topRight" activeCell="C1" sqref="C1"/>
      <selection pane="bottomLeft" activeCell="A6" sqref="A6"/>
      <selection pane="bottomRight" activeCell="K22" sqref="K22"/>
    </sheetView>
  </sheetViews>
  <sheetFormatPr baseColWidth="10" defaultColWidth="8.7109375" defaultRowHeight="15" x14ac:dyDescent="0.25"/>
  <cols>
    <col min="1" max="1" width="4" customWidth="1"/>
    <col min="2" max="2" width="8" customWidth="1"/>
    <col min="3" max="3" width="50" customWidth="1"/>
    <col min="4" max="6" width="20.5703125" customWidth="1"/>
  </cols>
  <sheetData>
    <row r="1" spans="2:6" ht="36" customHeight="1" x14ac:dyDescent="0.25">
      <c r="B1" s="61" t="s">
        <v>386</v>
      </c>
      <c r="C1" s="61"/>
      <c r="D1" s="61"/>
      <c r="E1" s="61"/>
      <c r="F1" s="61"/>
    </row>
    <row r="3" spans="2:6" x14ac:dyDescent="0.25">
      <c r="B3" s="4" t="s">
        <v>387</v>
      </c>
    </row>
    <row r="5" spans="2:6" ht="27.75" customHeight="1" x14ac:dyDescent="0.25">
      <c r="B5" s="6" t="s">
        <v>202</v>
      </c>
      <c r="C5" s="6" t="s">
        <v>203</v>
      </c>
      <c r="D5" s="6" t="s">
        <v>216</v>
      </c>
      <c r="E5" s="6" t="s">
        <v>217</v>
      </c>
      <c r="F5" s="6" t="s">
        <v>285</v>
      </c>
    </row>
    <row r="6" spans="2:6" x14ac:dyDescent="0.25">
      <c r="B6" s="37"/>
      <c r="C6" s="37" t="s">
        <v>388</v>
      </c>
      <c r="D6" s="37"/>
      <c r="E6" s="37"/>
      <c r="F6" s="37"/>
    </row>
    <row r="7" spans="2:6" x14ac:dyDescent="0.25">
      <c r="B7" s="10" t="s">
        <v>389</v>
      </c>
      <c r="C7" s="3" t="s">
        <v>390</v>
      </c>
      <c r="D7" s="15">
        <v>450000</v>
      </c>
      <c r="E7" s="15">
        <v>380000</v>
      </c>
      <c r="F7" s="15">
        <v>320000</v>
      </c>
    </row>
    <row r="8" spans="2:6" x14ac:dyDescent="0.25">
      <c r="B8" s="10" t="s">
        <v>391</v>
      </c>
      <c r="C8" s="3" t="s">
        <v>392</v>
      </c>
      <c r="D8" s="15">
        <v>1200000</v>
      </c>
      <c r="E8" s="15">
        <v>1450000</v>
      </c>
      <c r="F8" s="15">
        <v>1700000</v>
      </c>
    </row>
    <row r="9" spans="2:6" x14ac:dyDescent="0.25">
      <c r="B9" s="10" t="s">
        <v>393</v>
      </c>
      <c r="C9" s="3" t="s">
        <v>394</v>
      </c>
      <c r="D9" s="15">
        <v>95000000</v>
      </c>
      <c r="E9" s="15">
        <v>102000000</v>
      </c>
      <c r="F9" s="15">
        <v>105000000</v>
      </c>
    </row>
    <row r="10" spans="2:6" x14ac:dyDescent="0.25">
      <c r="B10" s="10" t="s">
        <v>395</v>
      </c>
      <c r="C10" s="3" t="s">
        <v>396</v>
      </c>
      <c r="D10" s="15">
        <v>3500000</v>
      </c>
      <c r="E10" s="15">
        <v>3500000</v>
      </c>
      <c r="F10" s="15">
        <v>3500000</v>
      </c>
    </row>
    <row r="11" spans="2:6" x14ac:dyDescent="0.25">
      <c r="B11" s="10" t="s">
        <v>397</v>
      </c>
      <c r="C11" s="3" t="s">
        <v>398</v>
      </c>
      <c r="D11" s="15">
        <v>0</v>
      </c>
      <c r="E11" s="15">
        <v>0</v>
      </c>
      <c r="F11" s="15">
        <v>0</v>
      </c>
    </row>
    <row r="12" spans="2:6" x14ac:dyDescent="0.25">
      <c r="B12" s="19" t="s">
        <v>299</v>
      </c>
      <c r="C12" s="7" t="s">
        <v>399</v>
      </c>
      <c r="D12" s="28">
        <f>SUM(D7:D11)</f>
        <v>100150000</v>
      </c>
      <c r="E12" s="28">
        <f>SUM(E7:E11)</f>
        <v>107330000</v>
      </c>
      <c r="F12" s="28">
        <f>SUM(F7:F11)</f>
        <v>110520000</v>
      </c>
    </row>
    <row r="14" spans="2:6" x14ac:dyDescent="0.25">
      <c r="B14" s="37"/>
      <c r="C14" s="37" t="s">
        <v>400</v>
      </c>
      <c r="D14" s="37"/>
      <c r="E14" s="37"/>
      <c r="F14" s="37"/>
    </row>
    <row r="15" spans="2:6" x14ac:dyDescent="0.25">
      <c r="B15" s="10" t="s">
        <v>401</v>
      </c>
      <c r="C15" s="3" t="s">
        <v>402</v>
      </c>
      <c r="D15" s="15">
        <v>18500000</v>
      </c>
      <c r="E15" s="15">
        <v>19800000</v>
      </c>
      <c r="F15" s="15">
        <v>19500000</v>
      </c>
    </row>
    <row r="16" spans="2:6" x14ac:dyDescent="0.25">
      <c r="B16" s="10" t="s">
        <v>403</v>
      </c>
      <c r="C16" s="3" t="s">
        <v>404</v>
      </c>
      <c r="D16" s="15">
        <v>58000000</v>
      </c>
      <c r="E16" s="15">
        <v>62000000</v>
      </c>
      <c r="F16" s="15">
        <v>65000000</v>
      </c>
    </row>
    <row r="17" spans="2:6" x14ac:dyDescent="0.25">
      <c r="B17" s="10" t="s">
        <v>405</v>
      </c>
      <c r="C17" s="3" t="s">
        <v>406</v>
      </c>
      <c r="D17" s="15">
        <v>4200000</v>
      </c>
      <c r="E17" s="15">
        <v>3800000</v>
      </c>
      <c r="F17" s="15">
        <v>3500000</v>
      </c>
    </row>
    <row r="18" spans="2:6" x14ac:dyDescent="0.25">
      <c r="B18" s="10" t="s">
        <v>407</v>
      </c>
      <c r="C18" s="3" t="s">
        <v>408</v>
      </c>
      <c r="D18" s="15">
        <v>1500000</v>
      </c>
      <c r="E18" s="15">
        <v>1650000</v>
      </c>
      <c r="F18" s="15">
        <v>1700000</v>
      </c>
    </row>
    <row r="19" spans="2:6" x14ac:dyDescent="0.25">
      <c r="B19" s="19" t="s">
        <v>316</v>
      </c>
      <c r="C19" s="7" t="s">
        <v>409</v>
      </c>
      <c r="D19" s="28">
        <f>SUM(D15:D18)</f>
        <v>82200000</v>
      </c>
      <c r="E19" s="28">
        <f>SUM(E15:E18)</f>
        <v>87250000</v>
      </c>
      <c r="F19" s="28">
        <f>SUM(F15:F18)</f>
        <v>89700000</v>
      </c>
    </row>
    <row r="21" spans="2:6" x14ac:dyDescent="0.25">
      <c r="B21" s="37"/>
      <c r="C21" s="37" t="s">
        <v>410</v>
      </c>
      <c r="D21" s="37"/>
      <c r="E21" s="37"/>
      <c r="F21" s="37"/>
    </row>
    <row r="22" spans="2:6" x14ac:dyDescent="0.25">
      <c r="B22" s="10" t="s">
        <v>411</v>
      </c>
      <c r="C22" s="3" t="s">
        <v>412</v>
      </c>
      <c r="D22" s="15">
        <v>8500000</v>
      </c>
      <c r="E22" s="15">
        <v>9200000</v>
      </c>
      <c r="F22" s="15">
        <v>11500000</v>
      </c>
    </row>
    <row r="23" spans="2:6" x14ac:dyDescent="0.25">
      <c r="B23" s="10" t="s">
        <v>413</v>
      </c>
      <c r="C23" s="3" t="s">
        <v>414</v>
      </c>
      <c r="D23" s="15">
        <v>120000</v>
      </c>
      <c r="E23" s="15">
        <v>110000</v>
      </c>
      <c r="F23" s="15">
        <v>120000</v>
      </c>
    </row>
    <row r="24" spans="2:6" x14ac:dyDescent="0.25">
      <c r="B24" s="19" t="s">
        <v>318</v>
      </c>
      <c r="C24" s="7" t="s">
        <v>415</v>
      </c>
      <c r="D24" s="28">
        <f>SUM(D22:D23)</f>
        <v>8620000</v>
      </c>
      <c r="E24" s="28">
        <f>SUM(E22:E23)</f>
        <v>9310000</v>
      </c>
      <c r="F24" s="28">
        <f>SUM(F22:F23)</f>
        <v>11620000</v>
      </c>
    </row>
    <row r="26" spans="2:6" x14ac:dyDescent="0.25">
      <c r="B26" s="19" t="s">
        <v>416</v>
      </c>
      <c r="C26" s="7" t="s">
        <v>417</v>
      </c>
      <c r="D26" s="28">
        <f>D12+D19+D24</f>
        <v>190970000</v>
      </c>
      <c r="E26" s="28">
        <f>E12+E19+E24</f>
        <v>203890000</v>
      </c>
      <c r="F26" s="28">
        <f>F12+F19+F24</f>
        <v>211840000</v>
      </c>
    </row>
    <row r="29" spans="2:6" x14ac:dyDescent="0.25">
      <c r="B29" s="37"/>
      <c r="C29" s="37" t="s">
        <v>418</v>
      </c>
      <c r="D29" s="37"/>
      <c r="E29" s="37"/>
      <c r="F29" s="37"/>
    </row>
    <row r="30" spans="2:6" x14ac:dyDescent="0.25">
      <c r="B30" s="10" t="s">
        <v>419</v>
      </c>
      <c r="C30" s="3" t="s">
        <v>420</v>
      </c>
      <c r="D30" s="15">
        <v>50000000</v>
      </c>
      <c r="E30" s="15">
        <v>50000000</v>
      </c>
      <c r="F30" s="15">
        <v>50000000</v>
      </c>
    </row>
    <row r="31" spans="2:6" x14ac:dyDescent="0.25">
      <c r="B31" s="10" t="s">
        <v>421</v>
      </c>
      <c r="C31" s="3" t="s">
        <v>422</v>
      </c>
      <c r="D31" s="15">
        <v>8000000</v>
      </c>
      <c r="E31" s="15">
        <v>8000000</v>
      </c>
      <c r="F31" s="15">
        <v>8000000</v>
      </c>
    </row>
    <row r="32" spans="2:6" x14ac:dyDescent="0.25">
      <c r="B32" s="10" t="s">
        <v>423</v>
      </c>
      <c r="C32" s="3" t="s">
        <v>424</v>
      </c>
      <c r="D32" s="15">
        <v>5000000</v>
      </c>
      <c r="E32" s="15">
        <v>5000000</v>
      </c>
      <c r="F32" s="15">
        <v>5000000</v>
      </c>
    </row>
    <row r="33" spans="2:6" x14ac:dyDescent="0.25">
      <c r="B33" s="10" t="s">
        <v>425</v>
      </c>
      <c r="C33" s="3" t="s">
        <v>426</v>
      </c>
      <c r="D33" s="15">
        <v>12500000</v>
      </c>
      <c r="E33" s="15">
        <v>18200000</v>
      </c>
      <c r="F33" s="15">
        <v>25000000</v>
      </c>
    </row>
    <row r="34" spans="2:6" x14ac:dyDescent="0.25">
      <c r="B34" s="10" t="s">
        <v>427</v>
      </c>
      <c r="C34" s="3" t="s">
        <v>428</v>
      </c>
      <c r="D34" s="23">
        <f>RESULTAT_NET_NM1</f>
        <v>42724657.5</v>
      </c>
      <c r="E34" s="23">
        <f>RESULTAT_NET_N</f>
        <v>47501025</v>
      </c>
      <c r="F34" s="23">
        <f>RESULTAT_NET_NPLUS1</f>
        <v>-109564449.53000003</v>
      </c>
    </row>
    <row r="35" spans="2:6" x14ac:dyDescent="0.25">
      <c r="B35" s="10" t="s">
        <v>429</v>
      </c>
      <c r="C35" s="3" t="s">
        <v>430</v>
      </c>
      <c r="D35" s="15">
        <v>1500000</v>
      </c>
      <c r="E35" s="15">
        <v>1400000</v>
      </c>
      <c r="F35" s="15">
        <v>1300000</v>
      </c>
    </row>
    <row r="36" spans="2:6" x14ac:dyDescent="0.25">
      <c r="B36" s="10" t="s">
        <v>431</v>
      </c>
      <c r="C36" s="3" t="s">
        <v>432</v>
      </c>
      <c r="D36" s="15">
        <v>17790684</v>
      </c>
      <c r="E36" s="15">
        <v>17277950</v>
      </c>
      <c r="F36" s="15">
        <v>51766208</v>
      </c>
    </row>
    <row r="37" spans="2:6" x14ac:dyDescent="0.25">
      <c r="B37" s="10" t="s">
        <v>433</v>
      </c>
      <c r="C37" s="3" t="s">
        <v>434</v>
      </c>
      <c r="D37" s="15">
        <v>2200000</v>
      </c>
      <c r="E37" s="15">
        <v>2400000</v>
      </c>
      <c r="F37" s="15">
        <v>2600000</v>
      </c>
    </row>
    <row r="38" spans="2:6" x14ac:dyDescent="0.25">
      <c r="B38" s="19" t="s">
        <v>299</v>
      </c>
      <c r="C38" s="7" t="s">
        <v>435</v>
      </c>
      <c r="D38" s="28">
        <f>SUM(D30:D37)</f>
        <v>139715341.5</v>
      </c>
      <c r="E38" s="28">
        <f>SUM(E30:E37)</f>
        <v>149778975</v>
      </c>
      <c r="F38" s="28">
        <f>SUM(F30:F37)</f>
        <v>34101758.469999969</v>
      </c>
    </row>
    <row r="40" spans="2:6" x14ac:dyDescent="0.25">
      <c r="B40" s="37"/>
      <c r="C40" s="37" t="s">
        <v>436</v>
      </c>
      <c r="D40" s="37"/>
      <c r="E40" s="37"/>
      <c r="F40" s="37"/>
    </row>
    <row r="41" spans="2:6" x14ac:dyDescent="0.25">
      <c r="B41" s="10" t="s">
        <v>437</v>
      </c>
      <c r="C41" s="3" t="s">
        <v>438</v>
      </c>
      <c r="D41" s="15">
        <v>32000000</v>
      </c>
      <c r="E41" s="15">
        <v>35500000</v>
      </c>
      <c r="F41" s="15">
        <v>38000000</v>
      </c>
    </row>
    <row r="42" spans="2:6" x14ac:dyDescent="0.25">
      <c r="B42" s="10" t="s">
        <v>439</v>
      </c>
      <c r="C42" s="3" t="s">
        <v>440</v>
      </c>
      <c r="D42" s="15">
        <v>2200000</v>
      </c>
      <c r="E42" s="15">
        <v>2400000</v>
      </c>
      <c r="F42" s="15">
        <v>2600000</v>
      </c>
    </row>
    <row r="43" spans="2:6" x14ac:dyDescent="0.25">
      <c r="B43" s="10" t="s">
        <v>441</v>
      </c>
      <c r="C43" s="3" t="s">
        <v>442</v>
      </c>
      <c r="D43" s="15">
        <v>1850000</v>
      </c>
      <c r="E43" s="15">
        <v>2050000</v>
      </c>
      <c r="F43" s="15">
        <v>2200000</v>
      </c>
    </row>
    <row r="44" spans="2:6" x14ac:dyDescent="0.25">
      <c r="B44" s="10" t="s">
        <v>443</v>
      </c>
      <c r="C44" s="3" t="s">
        <v>444</v>
      </c>
      <c r="D44" s="15">
        <v>3200000</v>
      </c>
      <c r="E44" s="15">
        <v>3500000</v>
      </c>
      <c r="F44" s="15">
        <v>3800000</v>
      </c>
    </row>
    <row r="45" spans="2:6" x14ac:dyDescent="0.25">
      <c r="B45" s="10" t="s">
        <v>445</v>
      </c>
      <c r="C45" s="3" t="s">
        <v>446</v>
      </c>
      <c r="D45" s="15">
        <v>6304658</v>
      </c>
      <c r="E45" s="15">
        <v>5911025</v>
      </c>
      <c r="F45" s="15">
        <v>1400000</v>
      </c>
    </row>
    <row r="46" spans="2:6" x14ac:dyDescent="0.25">
      <c r="B46" s="19" t="s">
        <v>316</v>
      </c>
      <c r="C46" s="7" t="s">
        <v>447</v>
      </c>
      <c r="D46" s="28">
        <f>SUM(D41:D45)</f>
        <v>45554658</v>
      </c>
      <c r="E46" s="28">
        <f>SUM(E41:E45)</f>
        <v>49361025</v>
      </c>
      <c r="F46" s="28">
        <f>SUM(F41:F45)</f>
        <v>48000000</v>
      </c>
    </row>
    <row r="48" spans="2:6" x14ac:dyDescent="0.25">
      <c r="B48" s="37"/>
      <c r="C48" s="37" t="s">
        <v>448</v>
      </c>
      <c r="D48" s="37"/>
      <c r="E48" s="37"/>
      <c r="F48" s="37"/>
    </row>
    <row r="49" spans="2:6" x14ac:dyDescent="0.25">
      <c r="B49" s="10" t="s">
        <v>449</v>
      </c>
      <c r="C49" s="3" t="s">
        <v>450</v>
      </c>
      <c r="D49" s="15">
        <v>4500000</v>
      </c>
      <c r="E49" s="15">
        <v>3800000</v>
      </c>
      <c r="F49" s="15">
        <v>2500000</v>
      </c>
    </row>
    <row r="50" spans="2:6" x14ac:dyDescent="0.25">
      <c r="B50" s="10" t="s">
        <v>451</v>
      </c>
      <c r="C50" s="3" t="s">
        <v>452</v>
      </c>
      <c r="D50" s="15">
        <v>1200000</v>
      </c>
      <c r="E50" s="15">
        <v>950000</v>
      </c>
      <c r="F50" s="15">
        <v>700000</v>
      </c>
    </row>
    <row r="51" spans="2:6" x14ac:dyDescent="0.25">
      <c r="B51" s="19" t="s">
        <v>318</v>
      </c>
      <c r="C51" s="7" t="s">
        <v>453</v>
      </c>
      <c r="D51" s="28">
        <f>SUM(D49:D50)</f>
        <v>5700000</v>
      </c>
      <c r="E51" s="28">
        <f>SUM(E49:E50)</f>
        <v>4750000</v>
      </c>
      <c r="F51" s="28">
        <f>SUM(F49:F50)</f>
        <v>3200000</v>
      </c>
    </row>
    <row r="53" spans="2:6" x14ac:dyDescent="0.25">
      <c r="B53" s="19" t="s">
        <v>454</v>
      </c>
      <c r="C53" s="7" t="s">
        <v>455</v>
      </c>
      <c r="D53" s="28">
        <f>D38+D46+D51</f>
        <v>190969999.5</v>
      </c>
      <c r="E53" s="28">
        <f>E38+E46+E51</f>
        <v>203890000</v>
      </c>
      <c r="F53" s="28">
        <f>F38+F46+F51</f>
        <v>85301758.469999969</v>
      </c>
    </row>
    <row r="55" spans="2:6" x14ac:dyDescent="0.25">
      <c r="B55" s="7" t="s">
        <v>456</v>
      </c>
      <c r="C55" s="7" t="s">
        <v>457</v>
      </c>
      <c r="D55" s="24">
        <f>D26-D53</f>
        <v>0.5</v>
      </c>
      <c r="E55" s="24">
        <f>E26-E53</f>
        <v>0</v>
      </c>
      <c r="F55" s="24">
        <f>F26-F53</f>
        <v>126538241.53000003</v>
      </c>
    </row>
    <row r="58" spans="2:6" ht="15.75" x14ac:dyDescent="0.25">
      <c r="B58" s="59" t="s">
        <v>458</v>
      </c>
      <c r="C58" s="59"/>
      <c r="D58" s="59"/>
      <c r="E58" s="59"/>
      <c r="F58" s="59"/>
    </row>
    <row r="59" spans="2:6" ht="27.75" customHeight="1" x14ac:dyDescent="0.25">
      <c r="B59" s="6" t="s">
        <v>459</v>
      </c>
      <c r="C59" s="6" t="s">
        <v>460</v>
      </c>
      <c r="D59" s="6" t="s">
        <v>216</v>
      </c>
      <c r="E59" s="6" t="s">
        <v>217</v>
      </c>
      <c r="F59" s="6" t="s">
        <v>285</v>
      </c>
    </row>
    <row r="60" spans="2:6" x14ac:dyDescent="0.25">
      <c r="B60" s="19" t="s">
        <v>123</v>
      </c>
      <c r="C60" s="3" t="s">
        <v>461</v>
      </c>
      <c r="D60" s="24">
        <f>D19-D46</f>
        <v>36645342</v>
      </c>
      <c r="E60" s="24">
        <f>E19-E46</f>
        <v>37888975</v>
      </c>
      <c r="F60" s="24">
        <f>F19-F46</f>
        <v>41700000</v>
      </c>
    </row>
    <row r="61" spans="2:6" x14ac:dyDescent="0.25">
      <c r="B61" s="19" t="s">
        <v>462</v>
      </c>
      <c r="C61" s="3" t="s">
        <v>463</v>
      </c>
      <c r="D61" s="18">
        <f>IFERROR(D16*360/(('6_CPC_Normalisé'!D7+'6_CPC_Normalisé'!D8)*1.2),0)</f>
        <v>62.142857142857146</v>
      </c>
      <c r="E61" s="18">
        <f>IFERROR(E16*360/(('6_CPC_Normalisé'!E7+'6_CPC_Normalisé'!E8)*1.2),0)</f>
        <v>60.586319218241044</v>
      </c>
      <c r="F61" s="18">
        <f>IFERROR(F16*360/(('6_CPC_Normalisé'!F7+'6_CPC_Normalisé'!F8)*1.2),0)</f>
        <v>109.37140651830698</v>
      </c>
    </row>
    <row r="62" spans="2:6" x14ac:dyDescent="0.25">
      <c r="B62" s="19" t="s">
        <v>464</v>
      </c>
      <c r="C62" s="3" t="s">
        <v>465</v>
      </c>
      <c r="D62" s="18">
        <f>IFERROR(D41*360/(('6_CPC_Normalisé'!D16+'6_CPC_Normalisé'!D17)*1.2),0)</f>
        <v>53.333333333333336</v>
      </c>
      <c r="E62" s="18">
        <f>IFERROR(E41*360/(('6_CPC_Normalisé'!E16+'6_CPC_Normalisé'!E17)*1.2),0)</f>
        <v>54.060913705583758</v>
      </c>
      <c r="F62" s="18">
        <f>IFERROR(F41*360/(('6_CPC_Normalisé'!F16+'6_CPC_Normalisé'!F17)*1.2),0)</f>
        <v>54.285714285714285</v>
      </c>
    </row>
    <row r="63" spans="2:6" x14ac:dyDescent="0.25">
      <c r="B63" s="19" t="s">
        <v>466</v>
      </c>
      <c r="C63" s="3" t="s">
        <v>467</v>
      </c>
      <c r="D63" s="18">
        <f>IFERROR(D15*360/('6_CPC_Normalisé'!D16+'6_CPC_Normalisé'!D17),0)</f>
        <v>37</v>
      </c>
      <c r="E63" s="18">
        <f>IFERROR(E15*360/('6_CPC_Normalisé'!E16+'6_CPC_Normalisé'!E17),0)</f>
        <v>36.182741116751266</v>
      </c>
      <c r="F63" s="18">
        <f>IFERROR(F15*360/('6_CPC_Normalisé'!F16+'6_CPC_Normalisé'!F17),0)</f>
        <v>33.428571428571431</v>
      </c>
    </row>
    <row r="64" spans="2:6" x14ac:dyDescent="0.25">
      <c r="B64" s="19" t="s">
        <v>468</v>
      </c>
      <c r="C64" s="3" t="s">
        <v>469</v>
      </c>
      <c r="D64" s="30">
        <f>IFERROR((D35+D51)/SUM(D30:D34),0)</f>
        <v>6.0901001129988475E-2</v>
      </c>
      <c r="E64" s="30">
        <f>IFERROR((E35+E51)/SUM(E30:E34),0)</f>
        <v>4.7785167212149246E-2</v>
      </c>
      <c r="F64" s="30">
        <f>IFERROR((F35+F51)/SUM(F30:F34),0)</f>
        <v>-0.20867678508276735</v>
      </c>
    </row>
    <row r="65" spans="1:6" x14ac:dyDescent="0.25">
      <c r="B65" s="19" t="s">
        <v>470</v>
      </c>
      <c r="C65" s="3" t="s">
        <v>471</v>
      </c>
      <c r="D65" s="30">
        <f>IFERROR(SUM(D30:D34)/D26,0)</f>
        <v>0.61907450123055974</v>
      </c>
      <c r="E65" s="30">
        <f>IFERROR(SUM(E30:E34)/E26,0)</f>
        <v>0.63122774535288639</v>
      </c>
      <c r="F65" s="30">
        <f>IFERROR(SUM(F30:F34)/F26,0)</f>
        <v>-0.10179592867258323</v>
      </c>
    </row>
    <row r="68" spans="1:6" ht="18" customHeight="1" x14ac:dyDescent="0.25">
      <c r="A68" s="60" t="s">
        <v>50</v>
      </c>
      <c r="B68" s="60"/>
      <c r="C68" s="60"/>
      <c r="D68" s="60"/>
      <c r="E68" s="60"/>
      <c r="F68" s="60"/>
    </row>
  </sheetData>
  <mergeCells count="3">
    <mergeCell ref="B1:F1"/>
    <mergeCell ref="B58:F58"/>
    <mergeCell ref="A68:F68"/>
  </mergeCells>
  <conditionalFormatting sqref="D55:F55">
    <cfRule type="cellIs" dxfId="7" priority="2" operator="notEqual">
      <formula>0</formula>
    </cfRule>
    <cfRule type="cellIs" dxfId="6" priority="3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4AF37"/>
  </sheetPr>
  <dimension ref="A1:I2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6" sqref="F6"/>
    </sheetView>
  </sheetViews>
  <sheetFormatPr baseColWidth="10" defaultColWidth="8.7109375" defaultRowHeight="15" x14ac:dyDescent="0.25"/>
  <cols>
    <col min="1" max="1" width="4" customWidth="1"/>
    <col min="2" max="2" width="20" customWidth="1"/>
    <col min="3" max="3" width="50.28515625" customWidth="1"/>
    <col min="4" max="5" width="30.7109375" customWidth="1"/>
    <col min="6" max="7" width="33.42578125" customWidth="1"/>
    <col min="8" max="8" width="25.85546875" customWidth="1"/>
    <col min="9" max="9" width="23" customWidth="1"/>
  </cols>
  <sheetData>
    <row r="1" spans="2:9" ht="36" customHeight="1" x14ac:dyDescent="0.25">
      <c r="B1" s="61" t="s">
        <v>472</v>
      </c>
      <c r="C1" s="61"/>
      <c r="D1" s="61"/>
      <c r="E1" s="61"/>
      <c r="F1" s="61"/>
      <c r="G1" s="61"/>
      <c r="H1" s="61"/>
      <c r="I1" s="61"/>
    </row>
    <row r="3" spans="2:9" ht="15.75" x14ac:dyDescent="0.25">
      <c r="B3" s="53" t="s">
        <v>473</v>
      </c>
      <c r="C3" s="54"/>
    </row>
    <row r="5" spans="2:9" ht="27.75" customHeight="1" x14ac:dyDescent="0.25">
      <c r="B5" s="44" t="s">
        <v>474</v>
      </c>
      <c r="C5" s="44" t="s">
        <v>475</v>
      </c>
      <c r="D5" s="44" t="s">
        <v>216</v>
      </c>
      <c r="E5" s="44" t="s">
        <v>217</v>
      </c>
      <c r="F5" s="44" t="s">
        <v>285</v>
      </c>
      <c r="G5" s="44" t="s">
        <v>476</v>
      </c>
      <c r="H5" s="44" t="s">
        <v>477</v>
      </c>
      <c r="I5" s="44" t="s">
        <v>478</v>
      </c>
    </row>
    <row r="6" spans="2:9" ht="36.75" customHeight="1" x14ac:dyDescent="0.35">
      <c r="B6" s="45" t="s">
        <v>479</v>
      </c>
      <c r="C6" s="46" t="s">
        <v>480</v>
      </c>
      <c r="D6" s="47">
        <f>'6_CPC_Normalisé'!D6+'6_CPC_Normalisé'!D7</f>
        <v>195000000</v>
      </c>
      <c r="E6" s="47">
        <f>'6_CPC_Normalisé'!E6+'6_CPC_Normalisé'!E7</f>
        <v>215000000</v>
      </c>
      <c r="F6" s="47">
        <f>VENTES_711+VENTES_712</f>
        <v>178291572</v>
      </c>
      <c r="G6" s="48">
        <f t="shared" ref="G6:G16" si="0">F6-E6</f>
        <v>-36708428</v>
      </c>
      <c r="H6" s="49">
        <f t="shared" ref="H6:H16" si="1">IFERROR((F6-E6)/ABS(E6),0)</f>
        <v>-0.17073687441860466</v>
      </c>
      <c r="I6" s="45" t="str">
        <f>IF(H6&gt;SEUIL_PCT,"🟢 Vert",IF(H6&lt;-SEUIL_PCT,"🔴 Rouge","🟡 Ambre"))</f>
        <v>🔴 Rouge</v>
      </c>
    </row>
    <row r="7" spans="2:9" ht="36.75" customHeight="1" x14ac:dyDescent="0.35">
      <c r="B7" s="45" t="s">
        <v>378</v>
      </c>
      <c r="C7" s="46" t="s">
        <v>379</v>
      </c>
      <c r="D7" s="47">
        <f>('6_CPC_Normalisé'!D6+'6_CPC_Normalisé'!D7)-('6_CPC_Normalisé'!D17+'6_CPC_Normalisé'!D18)</f>
        <v>153027000</v>
      </c>
      <c r="E7" s="47">
        <f>('6_CPC_Normalisé'!E6+'6_CPC_Normalisé'!E7)-('6_CPC_Normalisé'!E17+'6_CPC_Normalisé'!E18)</f>
        <v>168520000</v>
      </c>
      <c r="F7" s="47">
        <f>('6_CPC_Normalisé'!F6+'6_CPC_Normalisé'!F7)-('6_CPC_Normalisé'!F17+'6_CPC_Normalisé'!F18)</f>
        <v>84027492</v>
      </c>
      <c r="G7" s="48">
        <f t="shared" si="0"/>
        <v>-84492508</v>
      </c>
      <c r="H7" s="49">
        <f t="shared" si="1"/>
        <v>-0.50137970567291712</v>
      </c>
      <c r="I7" s="45" t="str">
        <f>IF(H7&gt;SEUIL_PCT,"🟢 Vert",IF(H7&lt;-SEUIL_PCT,"🔴 Rouge","🟡 Ambre"))</f>
        <v>🔴 Rouge</v>
      </c>
    </row>
    <row r="8" spans="2:9" ht="36.75" customHeight="1" x14ac:dyDescent="0.35">
      <c r="B8" s="45" t="s">
        <v>117</v>
      </c>
      <c r="C8" s="46" t="s">
        <v>117</v>
      </c>
      <c r="D8" s="47">
        <v>0</v>
      </c>
      <c r="E8" s="47">
        <f>EBITDA_N</f>
        <v>72650000</v>
      </c>
      <c r="F8" s="47">
        <f>EBITDA_NPLUS1</f>
        <v>-97108720.600000024</v>
      </c>
      <c r="G8" s="48">
        <f t="shared" si="0"/>
        <v>-169758720.60000002</v>
      </c>
      <c r="H8" s="49">
        <f t="shared" si="1"/>
        <v>-2.3366651149346183</v>
      </c>
      <c r="I8" s="45" t="str">
        <f>IF(H8&gt;SEUIL_PCT,"🟢 Vert",IF(H8&lt;-SEUIL_PCT,"🔴 Rouge","🟡 Ambre"))</f>
        <v>🔴 Rouge</v>
      </c>
    </row>
    <row r="9" spans="2:9" ht="36.75" customHeight="1" x14ac:dyDescent="0.35">
      <c r="B9" s="45" t="s">
        <v>481</v>
      </c>
      <c r="C9" s="46" t="s">
        <v>482</v>
      </c>
      <c r="D9" s="47">
        <v>0</v>
      </c>
      <c r="E9" s="47">
        <v>0</v>
      </c>
      <c r="F9" s="47">
        <f>REX_NPLUS1</f>
        <v>-106908720.60000002</v>
      </c>
      <c r="G9" s="48">
        <f t="shared" si="0"/>
        <v>-106908720.60000002</v>
      </c>
      <c r="H9" s="49">
        <f t="shared" si="1"/>
        <v>0</v>
      </c>
      <c r="I9" s="45" t="str">
        <f>IF(H9&gt;SEUIL_PCT,"🟢 Vert",IF(H9&lt;-SEUIL_PCT,"🔴 Rouge","🟡 Ambre"))</f>
        <v>🟡 Ambre</v>
      </c>
    </row>
    <row r="10" spans="2:9" ht="36.75" customHeight="1" x14ac:dyDescent="0.35">
      <c r="B10" s="45" t="s">
        <v>483</v>
      </c>
      <c r="C10" s="46" t="s">
        <v>122</v>
      </c>
      <c r="D10" s="47">
        <f>RESULTAT_NET_NM1</f>
        <v>42724657.5</v>
      </c>
      <c r="E10" s="47">
        <f>RESULTAT_NET_N</f>
        <v>47501025</v>
      </c>
      <c r="F10" s="47">
        <f>RESULTAT_NET_NPLUS1</f>
        <v>-109564449.53000003</v>
      </c>
      <c r="G10" s="48">
        <f t="shared" si="0"/>
        <v>-157065474.53000003</v>
      </c>
      <c r="H10" s="49">
        <f t="shared" si="1"/>
        <v>-3.3065702167479549</v>
      </c>
      <c r="I10" s="45" t="str">
        <f>IF(H10&gt;SEUIL_PCT,"🟢 Vert",IF(H10&lt;-SEUIL_PCT,"🔴 Rouge","🟡 Ambre"))</f>
        <v>🔴 Rouge</v>
      </c>
    </row>
    <row r="11" spans="2:9" ht="36.75" customHeight="1" x14ac:dyDescent="0.35">
      <c r="B11" s="45" t="s">
        <v>484</v>
      </c>
      <c r="C11" s="46" t="s">
        <v>485</v>
      </c>
      <c r="D11" s="50">
        <v>28500000</v>
      </c>
      <c r="E11" s="50">
        <v>31200000</v>
      </c>
      <c r="F11" s="47">
        <f>COUT_EMPLOYEUR_TOTAL</f>
        <v>59684292.600000001</v>
      </c>
      <c r="G11" s="48">
        <f t="shared" si="0"/>
        <v>28484292.600000001</v>
      </c>
      <c r="H11" s="49">
        <f t="shared" si="1"/>
        <v>0.91295809615384615</v>
      </c>
      <c r="I11" s="45" t="str">
        <f>IF(H11&lt;-SEUIL_PCT,"🟢 Vert",IF(H11&gt;SEUIL_PCT,"🔴 Rouge","🟡 Ambre"))</f>
        <v>🔴 Rouge</v>
      </c>
    </row>
    <row r="12" spans="2:9" ht="36.75" customHeight="1" x14ac:dyDescent="0.35">
      <c r="B12" s="45" t="s">
        <v>486</v>
      </c>
      <c r="C12" s="46" t="s">
        <v>307</v>
      </c>
      <c r="D12" s="47">
        <f>ZBB_REEL_NM1</f>
        <v>6973000</v>
      </c>
      <c r="E12" s="47">
        <f>ZBB_REEL_N</f>
        <v>7480000</v>
      </c>
      <c r="F12" s="47">
        <f>ZBB_BUDGET_NPLUS1</f>
        <v>7756000</v>
      </c>
      <c r="G12" s="48">
        <f t="shared" si="0"/>
        <v>276000</v>
      </c>
      <c r="H12" s="49">
        <f t="shared" si="1"/>
        <v>3.6898395721925131E-2</v>
      </c>
      <c r="I12" s="45" t="str">
        <f>IF(H12&lt;-SEUIL_PCT,"🟢 Vert",IF(H12&gt;SEUIL_PCT,"🔴 Rouge","🟡 Ambre"))</f>
        <v>🟡 Ambre</v>
      </c>
    </row>
    <row r="13" spans="2:9" ht="36.75" customHeight="1" x14ac:dyDescent="0.35">
      <c r="B13" s="45" t="s">
        <v>123</v>
      </c>
      <c r="C13" s="46" t="s">
        <v>487</v>
      </c>
      <c r="D13" s="47">
        <v>0</v>
      </c>
      <c r="E13" s="47">
        <f>BFR_N</f>
        <v>37888975</v>
      </c>
      <c r="F13" s="47">
        <f>BFR_NPLUS1</f>
        <v>41700000</v>
      </c>
      <c r="G13" s="48">
        <f t="shared" si="0"/>
        <v>3811025</v>
      </c>
      <c r="H13" s="49">
        <f t="shared" si="1"/>
        <v>0.10058400893663658</v>
      </c>
      <c r="I13" s="45" t="str">
        <f>IF(H13&lt;-SEUIL_PCT,"🟢 Vert",IF(H13&gt;SEUIL_PCT,"🔴 Rouge","🟡 Ambre"))</f>
        <v>🔴 Rouge</v>
      </c>
    </row>
    <row r="14" spans="2:9" ht="36.75" customHeight="1" x14ac:dyDescent="0.35">
      <c r="B14" s="45" t="s">
        <v>462</v>
      </c>
      <c r="C14" s="46" t="s">
        <v>488</v>
      </c>
      <c r="D14" s="51">
        <v>0</v>
      </c>
      <c r="E14" s="51">
        <v>0</v>
      </c>
      <c r="F14" s="51">
        <f>DSO_NPLUS1</f>
        <v>109.37140651830698</v>
      </c>
      <c r="G14" s="48">
        <f t="shared" si="0"/>
        <v>109.37140651830698</v>
      </c>
      <c r="H14" s="49">
        <f t="shared" si="1"/>
        <v>0</v>
      </c>
      <c r="I14" s="45" t="str">
        <f>IF(H14&lt;-SEUIL_PCT,"🟢 Vert",IF(H14&gt;SEUIL_PCT,"🔴 Rouge","🟡 Ambre"))</f>
        <v>🟡 Ambre</v>
      </c>
    </row>
    <row r="15" spans="2:9" ht="36.75" customHeight="1" x14ac:dyDescent="0.35">
      <c r="B15" s="45" t="s">
        <v>124</v>
      </c>
      <c r="C15" s="46" t="s">
        <v>489</v>
      </c>
      <c r="D15" s="52">
        <v>0</v>
      </c>
      <c r="E15" s="52">
        <v>0</v>
      </c>
      <c r="F15" s="52">
        <f>GEAR_NPLUS1</f>
        <v>-0.20867678508276735</v>
      </c>
      <c r="G15" s="48">
        <f t="shared" si="0"/>
        <v>-0.20867678508276735</v>
      </c>
      <c r="H15" s="49">
        <f t="shared" si="1"/>
        <v>0</v>
      </c>
      <c r="I15" s="45" t="str">
        <f>IF(H15&lt;-SEUIL_PCT,"🟢 Vert",IF(H15&gt;SEUIL_PCT,"🔴 Rouge","🟡 Ambre"))</f>
        <v>🟡 Ambre</v>
      </c>
    </row>
    <row r="16" spans="2:9" ht="36.75" customHeight="1" x14ac:dyDescent="0.35">
      <c r="B16" s="45" t="s">
        <v>490</v>
      </c>
      <c r="C16" s="46" t="s">
        <v>490</v>
      </c>
      <c r="D16" s="47">
        <v>0</v>
      </c>
      <c r="E16" s="47">
        <v>0</v>
      </c>
      <c r="F16" s="47">
        <f>TOTAL_BILAN_NPLUS1</f>
        <v>211840000</v>
      </c>
      <c r="G16" s="48">
        <f t="shared" si="0"/>
        <v>211840000</v>
      </c>
      <c r="H16" s="49">
        <f t="shared" si="1"/>
        <v>0</v>
      </c>
      <c r="I16" s="45" t="str">
        <f>IF(H16&gt;SEUIL_PCT,"🟢 Vert",IF(H16&lt;-SEUIL_PCT,"🔴 Rouge","🟡 Ambre"))</f>
        <v>🟡 Ambre</v>
      </c>
    </row>
    <row r="20" spans="1:9" ht="18" customHeight="1" x14ac:dyDescent="0.25">
      <c r="A20" s="60" t="s">
        <v>50</v>
      </c>
      <c r="B20" s="60"/>
      <c r="C20" s="60"/>
      <c r="D20" s="60"/>
      <c r="E20" s="60"/>
      <c r="F20" s="60"/>
      <c r="G20" s="60"/>
      <c r="H20" s="60"/>
      <c r="I20" s="60"/>
    </row>
  </sheetData>
  <mergeCells count="2">
    <mergeCell ref="B1:I1"/>
    <mergeCell ref="A20:I20"/>
  </mergeCells>
  <conditionalFormatting sqref="I6:I16">
    <cfRule type="expression" dxfId="5" priority="2">
      <formula>ISNUMBER(SEARCH("Vert",I6))</formula>
    </cfRule>
    <cfRule type="expression" dxfId="4" priority="3">
      <formula>ISNUMBER(SEARCH("Ambre",I6))</formula>
    </cfRule>
    <cfRule type="expression" dxfId="3" priority="4">
      <formula>ISNUMBER(SEARCH("Rouge",I6))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95959"/>
  </sheetPr>
  <dimension ref="A1:H6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7109375" defaultRowHeight="15" x14ac:dyDescent="0.25"/>
  <cols>
    <col min="1" max="1" width="4" customWidth="1"/>
    <col min="2" max="2" width="12" customWidth="1"/>
    <col min="3" max="3" width="38" customWidth="1"/>
    <col min="4" max="5" width="24" customWidth="1"/>
    <col min="6" max="6" width="16" customWidth="1"/>
    <col min="7" max="7" width="50" customWidth="1"/>
  </cols>
  <sheetData>
    <row r="1" spans="2:8" ht="36" customHeight="1" x14ac:dyDescent="0.25">
      <c r="B1" s="61" t="s">
        <v>491</v>
      </c>
      <c r="C1" s="61"/>
      <c r="D1" s="61"/>
      <c r="E1" s="61"/>
      <c r="F1" s="61"/>
      <c r="G1" s="61"/>
      <c r="H1" s="61"/>
    </row>
    <row r="3" spans="2:8" x14ac:dyDescent="0.25">
      <c r="B3" s="4" t="s">
        <v>492</v>
      </c>
    </row>
    <row r="5" spans="2:8" ht="31.5" customHeight="1" x14ac:dyDescent="0.25">
      <c r="B5" s="6" t="s">
        <v>170</v>
      </c>
      <c r="C5" s="6" t="s">
        <v>493</v>
      </c>
      <c r="D5" s="6" t="s">
        <v>494</v>
      </c>
      <c r="E5" s="6" t="s">
        <v>495</v>
      </c>
      <c r="F5" s="6" t="s">
        <v>496</v>
      </c>
      <c r="G5" s="6" t="s">
        <v>497</v>
      </c>
    </row>
    <row r="6" spans="2:8" x14ac:dyDescent="0.25">
      <c r="B6" s="19" t="s">
        <v>498</v>
      </c>
      <c r="C6" s="3" t="s">
        <v>420</v>
      </c>
      <c r="D6" s="3" t="s">
        <v>499</v>
      </c>
      <c r="E6" s="3" t="s">
        <v>500</v>
      </c>
      <c r="F6" s="41" t="s">
        <v>26</v>
      </c>
      <c r="G6" s="2" t="s">
        <v>501</v>
      </c>
    </row>
    <row r="7" spans="2:8" x14ac:dyDescent="0.25">
      <c r="B7" s="19" t="s">
        <v>502</v>
      </c>
      <c r="C7" s="3" t="s">
        <v>503</v>
      </c>
      <c r="D7" s="3" t="s">
        <v>504</v>
      </c>
      <c r="E7" s="3" t="s">
        <v>500</v>
      </c>
      <c r="F7" s="41" t="s">
        <v>26</v>
      </c>
      <c r="G7" s="2" t="s">
        <v>505</v>
      </c>
    </row>
    <row r="8" spans="2:8" x14ac:dyDescent="0.25">
      <c r="B8" s="19" t="s">
        <v>506</v>
      </c>
      <c r="C8" s="3" t="s">
        <v>426</v>
      </c>
      <c r="D8" s="3" t="s">
        <v>504</v>
      </c>
      <c r="E8" s="3" t="s">
        <v>500</v>
      </c>
      <c r="F8" s="41" t="s">
        <v>26</v>
      </c>
      <c r="G8" s="2" t="s">
        <v>507</v>
      </c>
    </row>
    <row r="9" spans="2:8" x14ac:dyDescent="0.25">
      <c r="B9" s="19" t="s">
        <v>508</v>
      </c>
      <c r="C9" s="3" t="s">
        <v>428</v>
      </c>
      <c r="D9" s="3" t="s">
        <v>504</v>
      </c>
      <c r="E9" s="3" t="s">
        <v>500</v>
      </c>
      <c r="F9" s="41" t="s">
        <v>26</v>
      </c>
      <c r="G9" s="2" t="s">
        <v>509</v>
      </c>
    </row>
    <row r="10" spans="2:8" x14ac:dyDescent="0.25">
      <c r="B10" s="19" t="s">
        <v>510</v>
      </c>
      <c r="C10" s="3" t="s">
        <v>511</v>
      </c>
      <c r="D10" s="3" t="s">
        <v>504</v>
      </c>
      <c r="E10" s="3" t="s">
        <v>512</v>
      </c>
      <c r="F10" s="41" t="s">
        <v>26</v>
      </c>
      <c r="G10" s="2" t="s">
        <v>513</v>
      </c>
    </row>
    <row r="11" spans="2:8" x14ac:dyDescent="0.25">
      <c r="B11" s="19" t="s">
        <v>514</v>
      </c>
      <c r="C11" s="3" t="s">
        <v>515</v>
      </c>
      <c r="D11" s="3" t="s">
        <v>504</v>
      </c>
      <c r="E11" s="3" t="s">
        <v>512</v>
      </c>
      <c r="F11" s="41" t="s">
        <v>26</v>
      </c>
      <c r="G11" s="2" t="s">
        <v>13</v>
      </c>
    </row>
    <row r="12" spans="2:8" x14ac:dyDescent="0.25">
      <c r="B12" s="19" t="s">
        <v>516</v>
      </c>
      <c r="C12" s="3" t="s">
        <v>517</v>
      </c>
      <c r="D12" s="3" t="s">
        <v>504</v>
      </c>
      <c r="E12" s="3" t="s">
        <v>518</v>
      </c>
      <c r="F12" s="41" t="s">
        <v>26</v>
      </c>
      <c r="G12" s="2" t="s">
        <v>519</v>
      </c>
    </row>
    <row r="13" spans="2:8" x14ac:dyDescent="0.25">
      <c r="B13" s="19" t="s">
        <v>520</v>
      </c>
      <c r="C13" s="3" t="s">
        <v>521</v>
      </c>
      <c r="D13" s="3" t="s">
        <v>522</v>
      </c>
      <c r="E13" s="3" t="s">
        <v>523</v>
      </c>
      <c r="F13" s="41" t="s">
        <v>26</v>
      </c>
      <c r="G13" s="2" t="s">
        <v>524</v>
      </c>
    </row>
    <row r="14" spans="2:8" x14ac:dyDescent="0.25">
      <c r="B14" s="19" t="s">
        <v>525</v>
      </c>
      <c r="C14" s="3" t="s">
        <v>526</v>
      </c>
      <c r="D14" s="3" t="s">
        <v>527</v>
      </c>
      <c r="E14" s="3" t="s">
        <v>528</v>
      </c>
      <c r="F14" s="41" t="s">
        <v>26</v>
      </c>
      <c r="G14" s="2" t="s">
        <v>529</v>
      </c>
    </row>
    <row r="15" spans="2:8" x14ac:dyDescent="0.25">
      <c r="B15" s="19" t="s">
        <v>530</v>
      </c>
      <c r="C15" s="3" t="s">
        <v>531</v>
      </c>
      <c r="D15" s="3" t="s">
        <v>527</v>
      </c>
      <c r="E15" s="3" t="s">
        <v>532</v>
      </c>
      <c r="F15" s="41" t="s">
        <v>26</v>
      </c>
      <c r="G15" s="2" t="s">
        <v>533</v>
      </c>
    </row>
    <row r="16" spans="2:8" x14ac:dyDescent="0.25">
      <c r="B16" s="19" t="s">
        <v>534</v>
      </c>
      <c r="C16" s="3" t="s">
        <v>535</v>
      </c>
      <c r="D16" s="3" t="s">
        <v>527</v>
      </c>
      <c r="E16" s="3" t="s">
        <v>532</v>
      </c>
      <c r="F16" s="41" t="s">
        <v>26</v>
      </c>
      <c r="G16" s="2" t="s">
        <v>536</v>
      </c>
    </row>
    <row r="17" spans="2:7" x14ac:dyDescent="0.25">
      <c r="B17" s="19" t="s">
        <v>537</v>
      </c>
      <c r="C17" s="3" t="s">
        <v>538</v>
      </c>
      <c r="D17" s="3" t="s">
        <v>527</v>
      </c>
      <c r="E17" s="3" t="s">
        <v>532</v>
      </c>
      <c r="F17" s="41" t="s">
        <v>26</v>
      </c>
      <c r="G17" s="2" t="s">
        <v>539</v>
      </c>
    </row>
    <row r="18" spans="2:7" x14ac:dyDescent="0.25">
      <c r="B18" s="19" t="s">
        <v>540</v>
      </c>
      <c r="C18" s="3" t="s">
        <v>541</v>
      </c>
      <c r="D18" s="3" t="s">
        <v>527</v>
      </c>
      <c r="E18" s="3" t="s">
        <v>532</v>
      </c>
      <c r="F18" s="41" t="s">
        <v>26</v>
      </c>
      <c r="G18" s="2" t="s">
        <v>542</v>
      </c>
    </row>
    <row r="19" spans="2:7" x14ac:dyDescent="0.25">
      <c r="B19" s="19" t="s">
        <v>543</v>
      </c>
      <c r="C19" s="3" t="s">
        <v>544</v>
      </c>
      <c r="D19" s="3" t="s">
        <v>527</v>
      </c>
      <c r="E19" s="3" t="s">
        <v>545</v>
      </c>
      <c r="F19" s="41" t="s">
        <v>26</v>
      </c>
      <c r="G19" s="2" t="s">
        <v>546</v>
      </c>
    </row>
    <row r="20" spans="2:7" x14ac:dyDescent="0.25">
      <c r="B20" s="19" t="s">
        <v>547</v>
      </c>
      <c r="C20" s="3" t="s">
        <v>548</v>
      </c>
      <c r="D20" s="3" t="s">
        <v>549</v>
      </c>
      <c r="E20" s="3" t="s">
        <v>550</v>
      </c>
      <c r="F20" s="41" t="s">
        <v>26</v>
      </c>
      <c r="G20" s="2" t="s">
        <v>551</v>
      </c>
    </row>
    <row r="21" spans="2:7" x14ac:dyDescent="0.25">
      <c r="B21" s="19" t="s">
        <v>552</v>
      </c>
      <c r="C21" s="3" t="s">
        <v>553</v>
      </c>
      <c r="D21" s="3" t="s">
        <v>554</v>
      </c>
      <c r="E21" s="3" t="s">
        <v>550</v>
      </c>
      <c r="F21" s="41" t="s">
        <v>26</v>
      </c>
      <c r="G21" s="2" t="s">
        <v>551</v>
      </c>
    </row>
    <row r="22" spans="2:7" x14ac:dyDescent="0.25">
      <c r="B22" s="19" t="s">
        <v>555</v>
      </c>
      <c r="C22" s="3" t="s">
        <v>556</v>
      </c>
      <c r="D22" s="3" t="s">
        <v>554</v>
      </c>
      <c r="E22" s="3" t="s">
        <v>550</v>
      </c>
      <c r="F22" s="41" t="s">
        <v>26</v>
      </c>
      <c r="G22" s="2" t="s">
        <v>557</v>
      </c>
    </row>
    <row r="23" spans="2:7" x14ac:dyDescent="0.25">
      <c r="B23" s="19" t="s">
        <v>558</v>
      </c>
      <c r="C23" s="3" t="s">
        <v>559</v>
      </c>
      <c r="D23" s="3" t="s">
        <v>554</v>
      </c>
      <c r="E23" s="3" t="s">
        <v>550</v>
      </c>
      <c r="F23" s="41" t="s">
        <v>26</v>
      </c>
      <c r="G23" s="2" t="s">
        <v>560</v>
      </c>
    </row>
    <row r="24" spans="2:7" x14ac:dyDescent="0.25">
      <c r="B24" s="19" t="s">
        <v>561</v>
      </c>
      <c r="C24" s="3" t="s">
        <v>562</v>
      </c>
      <c r="D24" s="3" t="s">
        <v>554</v>
      </c>
      <c r="E24" s="3" t="s">
        <v>563</v>
      </c>
      <c r="F24" s="41" t="s">
        <v>26</v>
      </c>
      <c r="G24" s="2" t="s">
        <v>564</v>
      </c>
    </row>
    <row r="25" spans="2:7" x14ac:dyDescent="0.25">
      <c r="B25" s="19" t="s">
        <v>565</v>
      </c>
      <c r="C25" s="3" t="s">
        <v>566</v>
      </c>
      <c r="D25" s="3" t="s">
        <v>554</v>
      </c>
      <c r="E25" s="3" t="s">
        <v>563</v>
      </c>
      <c r="F25" s="41" t="s">
        <v>26</v>
      </c>
      <c r="G25" s="2" t="s">
        <v>567</v>
      </c>
    </row>
    <row r="26" spans="2:7" x14ac:dyDescent="0.25">
      <c r="B26" s="19" t="s">
        <v>568</v>
      </c>
      <c r="C26" s="3" t="s">
        <v>569</v>
      </c>
      <c r="D26" s="3" t="s">
        <v>554</v>
      </c>
      <c r="E26" s="3" t="s">
        <v>570</v>
      </c>
      <c r="F26" s="41" t="s">
        <v>26</v>
      </c>
      <c r="G26" s="2" t="s">
        <v>571</v>
      </c>
    </row>
    <row r="27" spans="2:7" x14ac:dyDescent="0.25">
      <c r="B27" s="19" t="s">
        <v>572</v>
      </c>
      <c r="C27" s="3" t="s">
        <v>573</v>
      </c>
      <c r="D27" s="3" t="s">
        <v>574</v>
      </c>
      <c r="E27" s="3" t="s">
        <v>575</v>
      </c>
      <c r="F27" s="41" t="s">
        <v>26</v>
      </c>
      <c r="G27" s="2" t="s">
        <v>576</v>
      </c>
    </row>
    <row r="28" spans="2:7" x14ac:dyDescent="0.25">
      <c r="B28" s="19" t="s">
        <v>577</v>
      </c>
      <c r="C28" s="3" t="s">
        <v>578</v>
      </c>
      <c r="D28" s="3" t="s">
        <v>579</v>
      </c>
      <c r="E28" s="3" t="s">
        <v>580</v>
      </c>
      <c r="F28" s="41" t="s">
        <v>26</v>
      </c>
      <c r="G28" s="2" t="s">
        <v>581</v>
      </c>
    </row>
    <row r="29" spans="2:7" x14ac:dyDescent="0.25">
      <c r="B29" s="19" t="s">
        <v>582</v>
      </c>
      <c r="C29" s="3" t="s">
        <v>583</v>
      </c>
      <c r="D29" s="3" t="s">
        <v>579</v>
      </c>
      <c r="E29" s="3" t="s">
        <v>580</v>
      </c>
      <c r="F29" s="41" t="s">
        <v>26</v>
      </c>
      <c r="G29" s="2" t="s">
        <v>581</v>
      </c>
    </row>
    <row r="30" spans="2:7" x14ac:dyDescent="0.25">
      <c r="B30" s="19" t="s">
        <v>584</v>
      </c>
      <c r="C30" s="3" t="s">
        <v>585</v>
      </c>
      <c r="D30" s="3" t="s">
        <v>579</v>
      </c>
      <c r="E30" s="3" t="s">
        <v>586</v>
      </c>
      <c r="F30" s="41" t="s">
        <v>26</v>
      </c>
      <c r="G30" s="2" t="s">
        <v>587</v>
      </c>
    </row>
    <row r="31" spans="2:7" x14ac:dyDescent="0.25">
      <c r="B31" s="19" t="s">
        <v>588</v>
      </c>
      <c r="C31" s="3" t="s">
        <v>589</v>
      </c>
      <c r="D31" s="3" t="s">
        <v>579</v>
      </c>
      <c r="E31" s="3" t="s">
        <v>586</v>
      </c>
      <c r="F31" s="41" t="s">
        <v>26</v>
      </c>
      <c r="G31" s="2" t="s">
        <v>590</v>
      </c>
    </row>
    <row r="32" spans="2:7" x14ac:dyDescent="0.25">
      <c r="B32" s="19" t="s">
        <v>591</v>
      </c>
      <c r="C32" s="3" t="s">
        <v>592</v>
      </c>
      <c r="D32" s="3" t="s">
        <v>593</v>
      </c>
      <c r="E32" s="3" t="s">
        <v>594</v>
      </c>
      <c r="F32" s="41" t="s">
        <v>26</v>
      </c>
      <c r="G32" s="2" t="s">
        <v>595</v>
      </c>
    </row>
    <row r="33" spans="2:7" x14ac:dyDescent="0.25">
      <c r="B33" s="19" t="s">
        <v>596</v>
      </c>
      <c r="C33" s="3" t="s">
        <v>597</v>
      </c>
      <c r="D33" s="3" t="s">
        <v>598</v>
      </c>
      <c r="E33" s="3" t="s">
        <v>594</v>
      </c>
      <c r="F33" s="41" t="s">
        <v>26</v>
      </c>
      <c r="G33" s="2" t="s">
        <v>599</v>
      </c>
    </row>
    <row r="34" spans="2:7" x14ac:dyDescent="0.25">
      <c r="B34" s="19" t="s">
        <v>600</v>
      </c>
      <c r="C34" s="3" t="s">
        <v>601</v>
      </c>
      <c r="D34" s="3" t="s">
        <v>598</v>
      </c>
      <c r="E34" s="3" t="s">
        <v>602</v>
      </c>
      <c r="F34" s="41" t="s">
        <v>26</v>
      </c>
      <c r="G34" s="2" t="s">
        <v>603</v>
      </c>
    </row>
    <row r="35" spans="2:7" x14ac:dyDescent="0.25">
      <c r="B35" s="19" t="s">
        <v>604</v>
      </c>
      <c r="C35" s="3" t="s">
        <v>605</v>
      </c>
      <c r="D35" s="3" t="s">
        <v>606</v>
      </c>
      <c r="E35" s="3" t="s">
        <v>607</v>
      </c>
      <c r="F35" s="41" t="s">
        <v>24</v>
      </c>
      <c r="G35" s="2" t="s">
        <v>608</v>
      </c>
    </row>
    <row r="36" spans="2:7" x14ac:dyDescent="0.25">
      <c r="B36" s="19" t="s">
        <v>609</v>
      </c>
      <c r="C36" s="3" t="s">
        <v>610</v>
      </c>
      <c r="D36" s="3" t="s">
        <v>611</v>
      </c>
      <c r="E36" s="3" t="s">
        <v>607</v>
      </c>
      <c r="F36" s="41" t="s">
        <v>24</v>
      </c>
      <c r="G36" s="2" t="s">
        <v>612</v>
      </c>
    </row>
    <row r="37" spans="2:7" x14ac:dyDescent="0.25">
      <c r="B37" s="19" t="s">
        <v>224</v>
      </c>
      <c r="C37" s="3" t="s">
        <v>613</v>
      </c>
      <c r="D37" s="3" t="s">
        <v>611</v>
      </c>
      <c r="E37" s="3" t="s">
        <v>614</v>
      </c>
      <c r="F37" s="41" t="s">
        <v>20</v>
      </c>
      <c r="G37" s="2" t="s">
        <v>615</v>
      </c>
    </row>
    <row r="38" spans="2:7" x14ac:dyDescent="0.25">
      <c r="B38" s="19" t="s">
        <v>228</v>
      </c>
      <c r="C38" s="3" t="s">
        <v>616</v>
      </c>
      <c r="D38" s="3" t="s">
        <v>611</v>
      </c>
      <c r="E38" s="3" t="s">
        <v>614</v>
      </c>
      <c r="F38" s="41" t="s">
        <v>20</v>
      </c>
      <c r="G38" s="2" t="s">
        <v>617</v>
      </c>
    </row>
    <row r="39" spans="2:7" x14ac:dyDescent="0.25">
      <c r="B39" s="19" t="s">
        <v>234</v>
      </c>
      <c r="C39" s="3" t="s">
        <v>618</v>
      </c>
      <c r="D39" s="3" t="s">
        <v>611</v>
      </c>
      <c r="E39" s="3" t="s">
        <v>614</v>
      </c>
      <c r="F39" s="41" t="s">
        <v>20</v>
      </c>
      <c r="G39" s="2" t="s">
        <v>619</v>
      </c>
    </row>
    <row r="40" spans="2:7" x14ac:dyDescent="0.25">
      <c r="B40" s="19" t="s">
        <v>238</v>
      </c>
      <c r="C40" s="3" t="s">
        <v>620</v>
      </c>
      <c r="D40" s="3" t="s">
        <v>611</v>
      </c>
      <c r="E40" s="3" t="s">
        <v>614</v>
      </c>
      <c r="F40" s="41" t="s">
        <v>20</v>
      </c>
      <c r="G40" s="2" t="s">
        <v>621</v>
      </c>
    </row>
    <row r="41" spans="2:7" x14ac:dyDescent="0.25">
      <c r="B41" s="19" t="s">
        <v>241</v>
      </c>
      <c r="C41" s="3" t="s">
        <v>622</v>
      </c>
      <c r="D41" s="3" t="s">
        <v>611</v>
      </c>
      <c r="E41" s="3" t="s">
        <v>614</v>
      </c>
      <c r="F41" s="41" t="s">
        <v>20</v>
      </c>
      <c r="G41" s="2" t="s">
        <v>623</v>
      </c>
    </row>
    <row r="42" spans="2:7" x14ac:dyDescent="0.25">
      <c r="B42" s="19" t="s">
        <v>244</v>
      </c>
      <c r="C42" s="3" t="s">
        <v>624</v>
      </c>
      <c r="D42" s="3" t="s">
        <v>611</v>
      </c>
      <c r="E42" s="3" t="s">
        <v>614</v>
      </c>
      <c r="F42" s="41" t="s">
        <v>20</v>
      </c>
      <c r="G42" s="2" t="s">
        <v>625</v>
      </c>
    </row>
    <row r="43" spans="2:7" x14ac:dyDescent="0.25">
      <c r="B43" s="19" t="s">
        <v>250</v>
      </c>
      <c r="C43" s="3" t="s">
        <v>626</v>
      </c>
      <c r="D43" s="3" t="s">
        <v>611</v>
      </c>
      <c r="E43" s="3" t="s">
        <v>614</v>
      </c>
      <c r="F43" s="41" t="s">
        <v>20</v>
      </c>
      <c r="G43" s="2" t="s">
        <v>627</v>
      </c>
    </row>
    <row r="44" spans="2:7" x14ac:dyDescent="0.25">
      <c r="B44" s="19" t="s">
        <v>253</v>
      </c>
      <c r="C44" s="3" t="s">
        <v>628</v>
      </c>
      <c r="D44" s="3" t="s">
        <v>611</v>
      </c>
      <c r="E44" s="3" t="s">
        <v>614</v>
      </c>
      <c r="F44" s="41" t="s">
        <v>20</v>
      </c>
      <c r="G44" s="2" t="s">
        <v>629</v>
      </c>
    </row>
    <row r="45" spans="2:7" x14ac:dyDescent="0.25">
      <c r="B45" s="19" t="s">
        <v>255</v>
      </c>
      <c r="C45" s="3" t="s">
        <v>630</v>
      </c>
      <c r="D45" s="3" t="s">
        <v>611</v>
      </c>
      <c r="E45" s="3" t="s">
        <v>614</v>
      </c>
      <c r="F45" s="41" t="s">
        <v>20</v>
      </c>
      <c r="G45" s="2" t="s">
        <v>631</v>
      </c>
    </row>
    <row r="46" spans="2:7" x14ac:dyDescent="0.25">
      <c r="B46" s="19" t="s">
        <v>261</v>
      </c>
      <c r="C46" s="3" t="s">
        <v>632</v>
      </c>
      <c r="D46" s="3" t="s">
        <v>611</v>
      </c>
      <c r="E46" s="3" t="s">
        <v>614</v>
      </c>
      <c r="F46" s="41" t="s">
        <v>20</v>
      </c>
      <c r="G46" s="2" t="s">
        <v>633</v>
      </c>
    </row>
    <row r="47" spans="2:7" x14ac:dyDescent="0.25">
      <c r="B47" s="19" t="s">
        <v>634</v>
      </c>
      <c r="C47" s="3" t="s">
        <v>635</v>
      </c>
      <c r="D47" s="3" t="s">
        <v>611</v>
      </c>
      <c r="E47" s="3" t="s">
        <v>309</v>
      </c>
      <c r="F47" s="41" t="s">
        <v>24</v>
      </c>
      <c r="G47" s="2" t="s">
        <v>636</v>
      </c>
    </row>
    <row r="48" spans="2:7" x14ac:dyDescent="0.25">
      <c r="B48" s="19" t="s">
        <v>637</v>
      </c>
      <c r="C48" s="3" t="s">
        <v>638</v>
      </c>
      <c r="D48" s="3" t="s">
        <v>611</v>
      </c>
      <c r="E48" s="3" t="s">
        <v>309</v>
      </c>
      <c r="F48" s="41" t="s">
        <v>24</v>
      </c>
      <c r="G48" s="2" t="s">
        <v>13</v>
      </c>
    </row>
    <row r="49" spans="2:7" x14ac:dyDescent="0.25">
      <c r="B49" s="19" t="s">
        <v>639</v>
      </c>
      <c r="C49" s="3" t="s">
        <v>640</v>
      </c>
      <c r="D49" s="3" t="s">
        <v>611</v>
      </c>
      <c r="E49" s="3" t="s">
        <v>485</v>
      </c>
      <c r="F49" s="41" t="s">
        <v>22</v>
      </c>
      <c r="G49" s="2" t="s">
        <v>641</v>
      </c>
    </row>
    <row r="50" spans="2:7" x14ac:dyDescent="0.25">
      <c r="B50" s="19" t="s">
        <v>642</v>
      </c>
      <c r="C50" s="3" t="s">
        <v>643</v>
      </c>
      <c r="D50" s="3" t="s">
        <v>611</v>
      </c>
      <c r="E50" s="3" t="s">
        <v>485</v>
      </c>
      <c r="F50" s="41" t="s">
        <v>22</v>
      </c>
      <c r="G50" s="2" t="s">
        <v>644</v>
      </c>
    </row>
    <row r="51" spans="2:7" x14ac:dyDescent="0.25">
      <c r="B51" s="19" t="s">
        <v>645</v>
      </c>
      <c r="C51" s="3" t="s">
        <v>646</v>
      </c>
      <c r="D51" s="3" t="s">
        <v>611</v>
      </c>
      <c r="E51" s="3" t="s">
        <v>647</v>
      </c>
      <c r="F51" s="41" t="s">
        <v>24</v>
      </c>
      <c r="G51" s="2" t="s">
        <v>648</v>
      </c>
    </row>
    <row r="52" spans="2:7" x14ac:dyDescent="0.25">
      <c r="B52" s="19" t="s">
        <v>649</v>
      </c>
      <c r="C52" s="3" t="s">
        <v>650</v>
      </c>
      <c r="D52" s="3" t="s">
        <v>611</v>
      </c>
      <c r="E52" s="3" t="s">
        <v>647</v>
      </c>
      <c r="F52" s="41" t="s">
        <v>24</v>
      </c>
      <c r="G52" s="2" t="s">
        <v>651</v>
      </c>
    </row>
    <row r="53" spans="2:7" x14ac:dyDescent="0.25">
      <c r="B53" s="19" t="s">
        <v>652</v>
      </c>
      <c r="C53" s="3" t="s">
        <v>653</v>
      </c>
      <c r="D53" s="3" t="s">
        <v>611</v>
      </c>
      <c r="E53" s="3" t="s">
        <v>654</v>
      </c>
      <c r="F53" s="41" t="s">
        <v>24</v>
      </c>
      <c r="G53" s="2" t="s">
        <v>655</v>
      </c>
    </row>
    <row r="54" spans="2:7" x14ac:dyDescent="0.25">
      <c r="B54" s="19" t="s">
        <v>656</v>
      </c>
      <c r="C54" s="3" t="s">
        <v>335</v>
      </c>
      <c r="D54" s="3" t="s">
        <v>611</v>
      </c>
      <c r="E54" s="3" t="s">
        <v>654</v>
      </c>
      <c r="F54" s="41" t="s">
        <v>24</v>
      </c>
      <c r="G54" s="2" t="s">
        <v>657</v>
      </c>
    </row>
    <row r="55" spans="2:7" x14ac:dyDescent="0.25">
      <c r="B55" s="19" t="s">
        <v>658</v>
      </c>
      <c r="C55" s="3" t="s">
        <v>357</v>
      </c>
      <c r="D55" s="3" t="s">
        <v>611</v>
      </c>
      <c r="E55" s="3" t="s">
        <v>659</v>
      </c>
      <c r="F55" s="41" t="s">
        <v>24</v>
      </c>
      <c r="G55" s="2" t="s">
        <v>660</v>
      </c>
    </row>
    <row r="56" spans="2:7" x14ac:dyDescent="0.25">
      <c r="B56" s="19" t="s">
        <v>661</v>
      </c>
      <c r="C56" s="3" t="s">
        <v>662</v>
      </c>
      <c r="D56" s="3" t="s">
        <v>611</v>
      </c>
      <c r="E56" s="3" t="s">
        <v>663</v>
      </c>
      <c r="F56" s="41" t="s">
        <v>24</v>
      </c>
      <c r="G56" s="2" t="s">
        <v>664</v>
      </c>
    </row>
    <row r="57" spans="2:7" x14ac:dyDescent="0.25">
      <c r="B57" s="19" t="s">
        <v>187</v>
      </c>
      <c r="C57" s="3" t="s">
        <v>207</v>
      </c>
      <c r="D57" s="3" t="s">
        <v>665</v>
      </c>
      <c r="E57" s="3" t="s">
        <v>666</v>
      </c>
      <c r="F57" s="41" t="s">
        <v>17</v>
      </c>
      <c r="G57" s="2" t="s">
        <v>667</v>
      </c>
    </row>
    <row r="58" spans="2:7" x14ac:dyDescent="0.25">
      <c r="B58" s="19" t="s">
        <v>193</v>
      </c>
      <c r="C58" s="3" t="s">
        <v>208</v>
      </c>
      <c r="D58" s="3" t="s">
        <v>668</v>
      </c>
      <c r="E58" s="3" t="s">
        <v>666</v>
      </c>
      <c r="F58" s="41" t="s">
        <v>17</v>
      </c>
      <c r="G58" s="2" t="s">
        <v>669</v>
      </c>
    </row>
    <row r="59" spans="2:7" x14ac:dyDescent="0.25">
      <c r="B59" s="19" t="s">
        <v>670</v>
      </c>
      <c r="C59" s="3" t="s">
        <v>671</v>
      </c>
      <c r="D59" s="3" t="s">
        <v>668</v>
      </c>
      <c r="E59" s="3" t="s">
        <v>666</v>
      </c>
      <c r="F59" s="41" t="s">
        <v>17</v>
      </c>
      <c r="G59" s="2" t="s">
        <v>672</v>
      </c>
    </row>
    <row r="60" spans="2:7" x14ac:dyDescent="0.25">
      <c r="B60" s="19" t="s">
        <v>673</v>
      </c>
      <c r="C60" s="3" t="s">
        <v>292</v>
      </c>
      <c r="D60" s="3" t="s">
        <v>668</v>
      </c>
      <c r="E60" s="3" t="s">
        <v>674</v>
      </c>
      <c r="F60" s="41" t="s">
        <v>24</v>
      </c>
      <c r="G60" s="2" t="s">
        <v>675</v>
      </c>
    </row>
    <row r="61" spans="2:7" x14ac:dyDescent="0.25">
      <c r="B61" s="19" t="s">
        <v>676</v>
      </c>
      <c r="C61" s="3" t="s">
        <v>677</v>
      </c>
      <c r="D61" s="3" t="s">
        <v>668</v>
      </c>
      <c r="E61" s="3" t="s">
        <v>678</v>
      </c>
      <c r="F61" s="41" t="s">
        <v>24</v>
      </c>
      <c r="G61" s="2" t="s">
        <v>679</v>
      </c>
    </row>
    <row r="62" spans="2:7" x14ac:dyDescent="0.25">
      <c r="B62" s="19" t="s">
        <v>680</v>
      </c>
      <c r="C62" s="3" t="s">
        <v>296</v>
      </c>
      <c r="D62" s="3" t="s">
        <v>668</v>
      </c>
      <c r="E62" s="3" t="s">
        <v>681</v>
      </c>
      <c r="F62" s="41" t="s">
        <v>24</v>
      </c>
      <c r="G62" s="2" t="s">
        <v>682</v>
      </c>
    </row>
    <row r="63" spans="2:7" x14ac:dyDescent="0.25">
      <c r="B63" s="19" t="s">
        <v>683</v>
      </c>
      <c r="C63" s="3" t="s">
        <v>322</v>
      </c>
      <c r="D63" s="3" t="s">
        <v>668</v>
      </c>
      <c r="E63" s="3" t="s">
        <v>684</v>
      </c>
      <c r="F63" s="41" t="s">
        <v>24</v>
      </c>
      <c r="G63" s="2" t="s">
        <v>685</v>
      </c>
    </row>
    <row r="64" spans="2:7" x14ac:dyDescent="0.25">
      <c r="B64" s="19" t="s">
        <v>686</v>
      </c>
      <c r="C64" s="3" t="s">
        <v>324</v>
      </c>
      <c r="D64" s="3" t="s">
        <v>668</v>
      </c>
      <c r="E64" s="3" t="s">
        <v>684</v>
      </c>
      <c r="F64" s="41" t="s">
        <v>24</v>
      </c>
      <c r="G64" s="2" t="s">
        <v>687</v>
      </c>
    </row>
    <row r="65" spans="1:7" x14ac:dyDescent="0.25">
      <c r="B65" s="19" t="s">
        <v>688</v>
      </c>
      <c r="C65" s="3" t="s">
        <v>348</v>
      </c>
      <c r="D65" s="3" t="s">
        <v>668</v>
      </c>
      <c r="E65" s="3" t="s">
        <v>689</v>
      </c>
      <c r="F65" s="41" t="s">
        <v>24</v>
      </c>
      <c r="G65" s="2" t="s">
        <v>660</v>
      </c>
    </row>
    <row r="68" spans="1:7" ht="18" customHeight="1" x14ac:dyDescent="0.25">
      <c r="A68" s="60" t="s">
        <v>50</v>
      </c>
      <c r="B68" s="60"/>
      <c r="C68" s="60"/>
      <c r="D68" s="60"/>
      <c r="E68" s="60"/>
      <c r="F68" s="60"/>
      <c r="G68" s="60"/>
    </row>
  </sheetData>
  <autoFilter ref="B5:G65" xr:uid="{00000000-0009-0000-0000-000009000000}"/>
  <mergeCells count="2">
    <mergeCell ref="B1:H1"/>
    <mergeCell ref="A68:G6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4AF37"/>
  </sheetPr>
  <dimension ref="A1:I23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3" sqref="B3:D3"/>
    </sheetView>
  </sheetViews>
  <sheetFormatPr baseColWidth="10" defaultColWidth="8.7109375" defaultRowHeight="15" x14ac:dyDescent="0.25"/>
  <cols>
    <col min="1" max="1" width="4" customWidth="1"/>
    <col min="2" max="9" width="28.140625" customWidth="1"/>
  </cols>
  <sheetData>
    <row r="1" spans="2:9" ht="36" customHeight="1" x14ac:dyDescent="0.25">
      <c r="B1" s="61" t="s">
        <v>690</v>
      </c>
      <c r="C1" s="61"/>
      <c r="D1" s="61"/>
      <c r="E1" s="61"/>
      <c r="F1" s="61"/>
      <c r="G1" s="61"/>
      <c r="H1" s="61"/>
      <c r="I1" s="61"/>
    </row>
    <row r="3" spans="2:9" ht="15.75" x14ac:dyDescent="0.25">
      <c r="B3" s="53" t="s">
        <v>691</v>
      </c>
      <c r="C3" s="54"/>
      <c r="D3" s="54"/>
    </row>
    <row r="5" spans="2:9" ht="42.75" customHeight="1" x14ac:dyDescent="0.25">
      <c r="B5" s="44" t="s">
        <v>692</v>
      </c>
      <c r="C5" s="44" t="s">
        <v>226</v>
      </c>
      <c r="D5" s="44" t="s">
        <v>236</v>
      </c>
      <c r="E5" s="44" t="s">
        <v>280</v>
      </c>
      <c r="F5" s="44" t="s">
        <v>230</v>
      </c>
      <c r="G5" s="44" t="s">
        <v>243</v>
      </c>
      <c r="H5" s="44" t="s">
        <v>232</v>
      </c>
      <c r="I5" s="44" t="s">
        <v>693</v>
      </c>
    </row>
    <row r="6" spans="2:9" ht="22.5" customHeight="1" x14ac:dyDescent="0.35">
      <c r="B6" s="45" t="s">
        <v>224</v>
      </c>
      <c r="C6" s="48">
        <f>IFERROR(SUMIFS('4_ZBB_Charges'!$H:$H,'4_ZBB_Charges'!$B:$B,"6131",'4_ZBB_Charges'!$D:$D,"Production")-SUMIFS('4_ZBB_Charges'!$G:$G,'4_ZBB_Charges'!$B:$B,"6131",'4_ZBB_Charges'!$D:$D,"Production"),0)</f>
        <v>20000</v>
      </c>
      <c r="D6" s="48">
        <f>IFERROR(SUMIFS('4_ZBB_Charges'!$H:$H,'4_ZBB_Charges'!$B:$B,"6131",'4_ZBB_Charges'!$D:$D,"Maintenance")-SUMIFS('4_ZBB_Charges'!$G:$G,'4_ZBB_Charges'!$B:$B,"6131",'4_ZBB_Charges'!$D:$D,"Maintenance"),0)</f>
        <v>0</v>
      </c>
      <c r="E6" s="48">
        <f>IFERROR(SUMIFS('4_ZBB_Charges'!$H:$H,'4_ZBB_Charges'!$B:$B,"6131",'4_ZBB_Charges'!$D:$D,"Qualité")-SUMIFS('4_ZBB_Charges'!$G:$G,'4_ZBB_Charges'!$B:$B,"6131",'4_ZBB_Charges'!$D:$D,"Qualité"),0)</f>
        <v>0</v>
      </c>
      <c r="F6" s="48">
        <f>IFERROR(SUMIFS('4_ZBB_Charges'!$H:$H,'4_ZBB_Charges'!$B:$B,"6131",'4_ZBB_Charges'!$D:$D,"Logistique")-SUMIFS('4_ZBB_Charges'!$G:$G,'4_ZBB_Charges'!$B:$B,"6131",'4_ZBB_Charges'!$D:$D,"Logistique"),0)</f>
        <v>0</v>
      </c>
      <c r="G6" s="48">
        <f>IFERROR(SUMIFS('4_ZBB_Charges'!$H:$H,'4_ZBB_Charges'!$B:$B,"6131",'4_ZBB_Charges'!$D:$D,"Commercial")-SUMIFS('4_ZBB_Charges'!$G:$G,'4_ZBB_Charges'!$B:$B,"6131",'4_ZBB_Charges'!$D:$D,"Commercial"),0)</f>
        <v>0</v>
      </c>
      <c r="H6" s="48">
        <f>IFERROR(SUMIFS('4_ZBB_Charges'!$H:$H,'4_ZBB_Charges'!$B:$B,"6131",'4_ZBB_Charges'!$D:$D,"Admin/Finance")-SUMIFS('4_ZBB_Charges'!$G:$G,'4_ZBB_Charges'!$B:$B,"6131",'4_ZBB_Charges'!$D:$D,"Admin/Finance"),0)</f>
        <v>0</v>
      </c>
      <c r="I6" s="55">
        <f t="shared" ref="I6:I20" si="0">SUM(C6:H6)</f>
        <v>20000</v>
      </c>
    </row>
    <row r="7" spans="2:9" ht="22.5" customHeight="1" x14ac:dyDescent="0.35">
      <c r="B7" s="45" t="s">
        <v>228</v>
      </c>
      <c r="C7" s="48">
        <f>IFERROR(SUMIFS('4_ZBB_Charges'!$H:$H,'4_ZBB_Charges'!$B:$B,"6132",'4_ZBB_Charges'!$D:$D,"Production")-SUMIFS('4_ZBB_Charges'!$G:$G,'4_ZBB_Charges'!$B:$B,"6132",'4_ZBB_Charges'!$D:$D,"Production"),0)</f>
        <v>20000</v>
      </c>
      <c r="D7" s="48">
        <f>IFERROR(SUMIFS('4_ZBB_Charges'!$H:$H,'4_ZBB_Charges'!$B:$B,"6132",'4_ZBB_Charges'!$D:$D,"Maintenance")-SUMIFS('4_ZBB_Charges'!$G:$G,'4_ZBB_Charges'!$B:$B,"6132",'4_ZBB_Charges'!$D:$D,"Maintenance"),0)</f>
        <v>0</v>
      </c>
      <c r="E7" s="48">
        <f>IFERROR(SUMIFS('4_ZBB_Charges'!$H:$H,'4_ZBB_Charges'!$B:$B,"6132",'4_ZBB_Charges'!$D:$D,"Qualité")-SUMIFS('4_ZBB_Charges'!$G:$G,'4_ZBB_Charges'!$B:$B,"6132",'4_ZBB_Charges'!$D:$D,"Qualité"),0)</f>
        <v>0</v>
      </c>
      <c r="F7" s="48">
        <f>IFERROR(SUMIFS('4_ZBB_Charges'!$H:$H,'4_ZBB_Charges'!$B:$B,"6132",'4_ZBB_Charges'!$D:$D,"Logistique")-SUMIFS('4_ZBB_Charges'!$G:$G,'4_ZBB_Charges'!$B:$B,"6132",'4_ZBB_Charges'!$D:$D,"Logistique"),0)</f>
        <v>30000</v>
      </c>
      <c r="G7" s="48">
        <f>IFERROR(SUMIFS('4_ZBB_Charges'!$H:$H,'4_ZBB_Charges'!$B:$B,"6132",'4_ZBB_Charges'!$D:$D,"Commercial")-SUMIFS('4_ZBB_Charges'!$G:$G,'4_ZBB_Charges'!$B:$B,"6132",'4_ZBB_Charges'!$D:$D,"Commercial"),0)</f>
        <v>0</v>
      </c>
      <c r="H7" s="48">
        <f>IFERROR(SUMIFS('4_ZBB_Charges'!$H:$H,'4_ZBB_Charges'!$B:$B,"6132",'4_ZBB_Charges'!$D:$D,"Admin/Finance")-SUMIFS('4_ZBB_Charges'!$G:$G,'4_ZBB_Charges'!$B:$B,"6132",'4_ZBB_Charges'!$D:$D,"Admin/Finance"),0)</f>
        <v>10000</v>
      </c>
      <c r="I7" s="55">
        <f t="shared" si="0"/>
        <v>60000</v>
      </c>
    </row>
    <row r="8" spans="2:9" ht="22.5" customHeight="1" x14ac:dyDescent="0.35">
      <c r="B8" s="45" t="s">
        <v>234</v>
      </c>
      <c r="C8" s="48">
        <f>IFERROR(SUMIFS('4_ZBB_Charges'!$H:$H,'4_ZBB_Charges'!$B:$B,"6133",'4_ZBB_Charges'!$D:$D,"Production")-SUMIFS('4_ZBB_Charges'!$G:$G,'4_ZBB_Charges'!$B:$B,"6133",'4_ZBB_Charges'!$D:$D,"Production"),0)</f>
        <v>0</v>
      </c>
      <c r="D8" s="48">
        <f>IFERROR(SUMIFS('4_ZBB_Charges'!$H:$H,'4_ZBB_Charges'!$B:$B,"6133",'4_ZBB_Charges'!$D:$D,"Maintenance")-SUMIFS('4_ZBB_Charges'!$G:$G,'4_ZBB_Charges'!$B:$B,"6133",'4_ZBB_Charges'!$D:$D,"Maintenance"),0)</f>
        <v>-15000</v>
      </c>
      <c r="E8" s="48">
        <f>IFERROR(SUMIFS('4_ZBB_Charges'!$H:$H,'4_ZBB_Charges'!$B:$B,"6133",'4_ZBB_Charges'!$D:$D,"Qualité")-SUMIFS('4_ZBB_Charges'!$G:$G,'4_ZBB_Charges'!$B:$B,"6133",'4_ZBB_Charges'!$D:$D,"Qualité"),0)</f>
        <v>0</v>
      </c>
      <c r="F8" s="48">
        <f>IFERROR(SUMIFS('4_ZBB_Charges'!$H:$H,'4_ZBB_Charges'!$B:$B,"6133",'4_ZBB_Charges'!$D:$D,"Logistique")-SUMIFS('4_ZBB_Charges'!$G:$G,'4_ZBB_Charges'!$B:$B,"6133",'4_ZBB_Charges'!$D:$D,"Logistique"),0)</f>
        <v>0</v>
      </c>
      <c r="G8" s="48">
        <f>IFERROR(SUMIFS('4_ZBB_Charges'!$H:$H,'4_ZBB_Charges'!$B:$B,"6133",'4_ZBB_Charges'!$D:$D,"Commercial")-SUMIFS('4_ZBB_Charges'!$G:$G,'4_ZBB_Charges'!$B:$B,"6133",'4_ZBB_Charges'!$D:$D,"Commercial"),0)</f>
        <v>0</v>
      </c>
      <c r="H8" s="48">
        <f>IFERROR(SUMIFS('4_ZBB_Charges'!$H:$H,'4_ZBB_Charges'!$B:$B,"6133",'4_ZBB_Charges'!$D:$D,"Admin/Finance")-SUMIFS('4_ZBB_Charges'!$G:$G,'4_ZBB_Charges'!$B:$B,"6133",'4_ZBB_Charges'!$D:$D,"Admin/Finance"),0)</f>
        <v>0</v>
      </c>
      <c r="I8" s="55">
        <f t="shared" si="0"/>
        <v>-15000</v>
      </c>
    </row>
    <row r="9" spans="2:9" ht="22.5" customHeight="1" x14ac:dyDescent="0.35">
      <c r="B9" s="45" t="s">
        <v>238</v>
      </c>
      <c r="C9" s="48">
        <f>IFERROR(SUMIFS('4_ZBB_Charges'!$H:$H,'4_ZBB_Charges'!$B:$B,"6134",'4_ZBB_Charges'!$D:$D,"Production")-SUMIFS('4_ZBB_Charges'!$G:$G,'4_ZBB_Charges'!$B:$B,"6134",'4_ZBB_Charges'!$D:$D,"Production"),0)</f>
        <v>0</v>
      </c>
      <c r="D9" s="48">
        <f>IFERROR(SUMIFS('4_ZBB_Charges'!$H:$H,'4_ZBB_Charges'!$B:$B,"6134",'4_ZBB_Charges'!$D:$D,"Maintenance")-SUMIFS('4_ZBB_Charges'!$G:$G,'4_ZBB_Charges'!$B:$B,"6134",'4_ZBB_Charges'!$D:$D,"Maintenance"),0)</f>
        <v>0</v>
      </c>
      <c r="E9" s="48">
        <f>IFERROR(SUMIFS('4_ZBB_Charges'!$H:$H,'4_ZBB_Charges'!$B:$B,"6134",'4_ZBB_Charges'!$D:$D,"Qualité")-SUMIFS('4_ZBB_Charges'!$G:$G,'4_ZBB_Charges'!$B:$B,"6134",'4_ZBB_Charges'!$D:$D,"Qualité"),0)</f>
        <v>0</v>
      </c>
      <c r="F9" s="48">
        <f>IFERROR(SUMIFS('4_ZBB_Charges'!$H:$H,'4_ZBB_Charges'!$B:$B,"6134",'4_ZBB_Charges'!$D:$D,"Logistique")-SUMIFS('4_ZBB_Charges'!$G:$G,'4_ZBB_Charges'!$B:$B,"6134",'4_ZBB_Charges'!$D:$D,"Logistique"),0)</f>
        <v>8000</v>
      </c>
      <c r="G9" s="48">
        <f>IFERROR(SUMIFS('4_ZBB_Charges'!$H:$H,'4_ZBB_Charges'!$B:$B,"6134",'4_ZBB_Charges'!$D:$D,"Commercial")-SUMIFS('4_ZBB_Charges'!$G:$G,'4_ZBB_Charges'!$B:$B,"6134",'4_ZBB_Charges'!$D:$D,"Commercial"),0)</f>
        <v>0</v>
      </c>
      <c r="H9" s="48">
        <f>IFERROR(SUMIFS('4_ZBB_Charges'!$H:$H,'4_ZBB_Charges'!$B:$B,"6134",'4_ZBB_Charges'!$D:$D,"Admin/Finance")-SUMIFS('4_ZBB_Charges'!$G:$G,'4_ZBB_Charges'!$B:$B,"6134",'4_ZBB_Charges'!$D:$D,"Admin/Finance"),0)</f>
        <v>15000</v>
      </c>
      <c r="I9" s="55">
        <f t="shared" si="0"/>
        <v>23000</v>
      </c>
    </row>
    <row r="10" spans="2:9" ht="22.5" customHeight="1" x14ac:dyDescent="0.35">
      <c r="B10" s="45" t="s">
        <v>241</v>
      </c>
      <c r="C10" s="48">
        <f>IFERROR(SUMIFS('4_ZBB_Charges'!$H:$H,'4_ZBB_Charges'!$B:$B,"6135",'4_ZBB_Charges'!$D:$D,"Production")-SUMIFS('4_ZBB_Charges'!$G:$G,'4_ZBB_Charges'!$B:$B,"6135",'4_ZBB_Charges'!$D:$D,"Production"),0)</f>
        <v>0</v>
      </c>
      <c r="D10" s="48">
        <f>IFERROR(SUMIFS('4_ZBB_Charges'!$H:$H,'4_ZBB_Charges'!$B:$B,"6135",'4_ZBB_Charges'!$D:$D,"Maintenance")-SUMIFS('4_ZBB_Charges'!$G:$G,'4_ZBB_Charges'!$B:$B,"6135",'4_ZBB_Charges'!$D:$D,"Maintenance"),0)</f>
        <v>0</v>
      </c>
      <c r="E10" s="48">
        <f>IFERROR(SUMIFS('4_ZBB_Charges'!$H:$H,'4_ZBB_Charges'!$B:$B,"6135",'4_ZBB_Charges'!$D:$D,"Qualité")-SUMIFS('4_ZBB_Charges'!$G:$G,'4_ZBB_Charges'!$B:$B,"6135",'4_ZBB_Charges'!$D:$D,"Qualité"),0)</f>
        <v>0</v>
      </c>
      <c r="F10" s="48">
        <f>IFERROR(SUMIFS('4_ZBB_Charges'!$H:$H,'4_ZBB_Charges'!$B:$B,"6135",'4_ZBB_Charges'!$D:$D,"Logistique")-SUMIFS('4_ZBB_Charges'!$G:$G,'4_ZBB_Charges'!$B:$B,"6135",'4_ZBB_Charges'!$D:$D,"Logistique"),0)</f>
        <v>0</v>
      </c>
      <c r="G10" s="48">
        <f>IFERROR(SUMIFS('4_ZBB_Charges'!$H:$H,'4_ZBB_Charges'!$B:$B,"6135",'4_ZBB_Charges'!$D:$D,"Commercial")-SUMIFS('4_ZBB_Charges'!$G:$G,'4_ZBB_Charges'!$B:$B,"6135",'4_ZBB_Charges'!$D:$D,"Commercial"),0)</f>
        <v>25000</v>
      </c>
      <c r="H10" s="48">
        <f>IFERROR(SUMIFS('4_ZBB_Charges'!$H:$H,'4_ZBB_Charges'!$B:$B,"6135",'4_ZBB_Charges'!$D:$D,"Admin/Finance")-SUMIFS('4_ZBB_Charges'!$G:$G,'4_ZBB_Charges'!$B:$B,"6135",'4_ZBB_Charges'!$D:$D,"Admin/Finance"),0)</f>
        <v>0</v>
      </c>
      <c r="I10" s="55">
        <f t="shared" si="0"/>
        <v>25000</v>
      </c>
    </row>
    <row r="11" spans="2:9" ht="22.5" customHeight="1" x14ac:dyDescent="0.35">
      <c r="B11" s="45" t="s">
        <v>244</v>
      </c>
      <c r="C11" s="48">
        <f>IFERROR(SUMIFS('4_ZBB_Charges'!$H:$H,'4_ZBB_Charges'!$B:$B,"6136",'4_ZBB_Charges'!$D:$D,"Production")-SUMIFS('4_ZBB_Charges'!$G:$G,'4_ZBB_Charges'!$B:$B,"6136",'4_ZBB_Charges'!$D:$D,"Production"),0)</f>
        <v>0</v>
      </c>
      <c r="D11" s="48">
        <f>IFERROR(SUMIFS('4_ZBB_Charges'!$H:$H,'4_ZBB_Charges'!$B:$B,"6136",'4_ZBB_Charges'!$D:$D,"Maintenance")-SUMIFS('4_ZBB_Charges'!$G:$G,'4_ZBB_Charges'!$B:$B,"6136",'4_ZBB_Charges'!$D:$D,"Maintenance"),0)</f>
        <v>0</v>
      </c>
      <c r="E11" s="48">
        <f>IFERROR(SUMIFS('4_ZBB_Charges'!$H:$H,'4_ZBB_Charges'!$B:$B,"6136",'4_ZBB_Charges'!$D:$D,"Qualité")-SUMIFS('4_ZBB_Charges'!$G:$G,'4_ZBB_Charges'!$B:$B,"6136",'4_ZBB_Charges'!$D:$D,"Qualité"),0)</f>
        <v>0</v>
      </c>
      <c r="F11" s="48">
        <f>IFERROR(SUMIFS('4_ZBB_Charges'!$H:$H,'4_ZBB_Charges'!$B:$B,"6136",'4_ZBB_Charges'!$D:$D,"Logistique")-SUMIFS('4_ZBB_Charges'!$G:$G,'4_ZBB_Charges'!$B:$B,"6136",'4_ZBB_Charges'!$D:$D,"Logistique"),0)</f>
        <v>0</v>
      </c>
      <c r="G11" s="48">
        <f>IFERROR(SUMIFS('4_ZBB_Charges'!$H:$H,'4_ZBB_Charges'!$B:$B,"6136",'4_ZBB_Charges'!$D:$D,"Commercial")-SUMIFS('4_ZBB_Charges'!$G:$G,'4_ZBB_Charges'!$B:$B,"6136",'4_ZBB_Charges'!$D:$D,"Commercial"),0)</f>
        <v>0</v>
      </c>
      <c r="H11" s="48">
        <f>IFERROR(SUMIFS('4_ZBB_Charges'!$H:$H,'4_ZBB_Charges'!$B:$B,"6136",'4_ZBB_Charges'!$D:$D,"Admin/Finance")-SUMIFS('4_ZBB_Charges'!$G:$G,'4_ZBB_Charges'!$B:$B,"6136",'4_ZBB_Charges'!$D:$D,"Admin/Finance"),0)</f>
        <v>17000</v>
      </c>
      <c r="I11" s="55">
        <f t="shared" si="0"/>
        <v>17000</v>
      </c>
    </row>
    <row r="12" spans="2:9" ht="22.5" customHeight="1" x14ac:dyDescent="0.35">
      <c r="B12" s="45" t="s">
        <v>248</v>
      </c>
      <c r="C12" s="48">
        <f>IFERROR(SUMIFS('4_ZBB_Charges'!$H:$H,'4_ZBB_Charges'!$B:$B,"6137",'4_ZBB_Charges'!$D:$D,"Production")-SUMIFS('4_ZBB_Charges'!$G:$G,'4_ZBB_Charges'!$B:$B,"6137",'4_ZBB_Charges'!$D:$D,"Production"),0)</f>
        <v>0</v>
      </c>
      <c r="D12" s="48">
        <f>IFERROR(SUMIFS('4_ZBB_Charges'!$H:$H,'4_ZBB_Charges'!$B:$B,"6137",'4_ZBB_Charges'!$D:$D,"Maintenance")-SUMIFS('4_ZBB_Charges'!$G:$G,'4_ZBB_Charges'!$B:$B,"6137",'4_ZBB_Charges'!$D:$D,"Maintenance"),0)</f>
        <v>0</v>
      </c>
      <c r="E12" s="48">
        <f>IFERROR(SUMIFS('4_ZBB_Charges'!$H:$H,'4_ZBB_Charges'!$B:$B,"6137",'4_ZBB_Charges'!$D:$D,"Qualité")-SUMIFS('4_ZBB_Charges'!$G:$G,'4_ZBB_Charges'!$B:$B,"6137",'4_ZBB_Charges'!$D:$D,"Qualité"),0)</f>
        <v>0</v>
      </c>
      <c r="F12" s="48">
        <f>IFERROR(SUMIFS('4_ZBB_Charges'!$H:$H,'4_ZBB_Charges'!$B:$B,"6137",'4_ZBB_Charges'!$D:$D,"Logistique")-SUMIFS('4_ZBB_Charges'!$G:$G,'4_ZBB_Charges'!$B:$B,"6137",'4_ZBB_Charges'!$D:$D,"Logistique"),0)</f>
        <v>0</v>
      </c>
      <c r="G12" s="48">
        <f>IFERROR(SUMIFS('4_ZBB_Charges'!$H:$H,'4_ZBB_Charges'!$B:$B,"6137",'4_ZBB_Charges'!$D:$D,"Commercial")-SUMIFS('4_ZBB_Charges'!$G:$G,'4_ZBB_Charges'!$B:$B,"6137",'4_ZBB_Charges'!$D:$D,"Commercial"),0)</f>
        <v>15000</v>
      </c>
      <c r="H12" s="48">
        <f>IFERROR(SUMIFS('4_ZBB_Charges'!$H:$H,'4_ZBB_Charges'!$B:$B,"6137",'4_ZBB_Charges'!$D:$D,"Admin/Finance")-SUMIFS('4_ZBB_Charges'!$G:$G,'4_ZBB_Charges'!$B:$B,"6137",'4_ZBB_Charges'!$D:$D,"Admin/Finance"),0)</f>
        <v>0</v>
      </c>
      <c r="I12" s="55">
        <f t="shared" si="0"/>
        <v>15000</v>
      </c>
    </row>
    <row r="13" spans="2:9" ht="22.5" customHeight="1" x14ac:dyDescent="0.35">
      <c r="B13" s="45" t="s">
        <v>250</v>
      </c>
      <c r="C13" s="48">
        <f>IFERROR(SUMIFS('4_ZBB_Charges'!$H:$H,'4_ZBB_Charges'!$B:$B,"6142",'4_ZBB_Charges'!$D:$D,"Production")-SUMIFS('4_ZBB_Charges'!$G:$G,'4_ZBB_Charges'!$B:$B,"6142",'4_ZBB_Charges'!$D:$D,"Production"),0)</f>
        <v>0</v>
      </c>
      <c r="D13" s="48">
        <f>IFERROR(SUMIFS('4_ZBB_Charges'!$H:$H,'4_ZBB_Charges'!$B:$B,"6142",'4_ZBB_Charges'!$D:$D,"Maintenance")-SUMIFS('4_ZBB_Charges'!$G:$G,'4_ZBB_Charges'!$B:$B,"6142",'4_ZBB_Charges'!$D:$D,"Maintenance"),0)</f>
        <v>0</v>
      </c>
      <c r="E13" s="48">
        <f>IFERROR(SUMIFS('4_ZBB_Charges'!$H:$H,'4_ZBB_Charges'!$B:$B,"6142",'4_ZBB_Charges'!$D:$D,"Qualité")-SUMIFS('4_ZBB_Charges'!$G:$G,'4_ZBB_Charges'!$B:$B,"6142",'4_ZBB_Charges'!$D:$D,"Qualité"),0)</f>
        <v>0</v>
      </c>
      <c r="F13" s="48">
        <f>IFERROR(SUMIFS('4_ZBB_Charges'!$H:$H,'4_ZBB_Charges'!$B:$B,"6142",'4_ZBB_Charges'!$D:$D,"Logistique")-SUMIFS('4_ZBB_Charges'!$G:$G,'4_ZBB_Charges'!$B:$B,"6142",'4_ZBB_Charges'!$D:$D,"Logistique"),0)</f>
        <v>55000</v>
      </c>
      <c r="G13" s="48">
        <f>IFERROR(SUMIFS('4_ZBB_Charges'!$H:$H,'4_ZBB_Charges'!$B:$B,"6142",'4_ZBB_Charges'!$D:$D,"Commercial")-SUMIFS('4_ZBB_Charges'!$G:$G,'4_ZBB_Charges'!$B:$B,"6142",'4_ZBB_Charges'!$D:$D,"Commercial"),0)</f>
        <v>0</v>
      </c>
      <c r="H13" s="48">
        <f>IFERROR(SUMIFS('4_ZBB_Charges'!$H:$H,'4_ZBB_Charges'!$B:$B,"6142",'4_ZBB_Charges'!$D:$D,"Admin/Finance")-SUMIFS('4_ZBB_Charges'!$G:$G,'4_ZBB_Charges'!$B:$B,"6142",'4_ZBB_Charges'!$D:$D,"Admin/Finance"),0)</f>
        <v>0</v>
      </c>
      <c r="I13" s="55">
        <f t="shared" si="0"/>
        <v>55000</v>
      </c>
    </row>
    <row r="14" spans="2:9" ht="22.5" customHeight="1" x14ac:dyDescent="0.35">
      <c r="B14" s="45" t="s">
        <v>253</v>
      </c>
      <c r="C14" s="48">
        <f>IFERROR(SUMIFS('4_ZBB_Charges'!$H:$H,'4_ZBB_Charges'!$B:$B,"6143",'4_ZBB_Charges'!$D:$D,"Production")-SUMIFS('4_ZBB_Charges'!$G:$G,'4_ZBB_Charges'!$B:$B,"6143",'4_ZBB_Charges'!$D:$D,"Production"),0)</f>
        <v>0</v>
      </c>
      <c r="D14" s="48">
        <f>IFERROR(SUMIFS('4_ZBB_Charges'!$H:$H,'4_ZBB_Charges'!$B:$B,"6143",'4_ZBB_Charges'!$D:$D,"Maintenance")-SUMIFS('4_ZBB_Charges'!$G:$G,'4_ZBB_Charges'!$B:$B,"6143",'4_ZBB_Charges'!$D:$D,"Maintenance"),0)</f>
        <v>0</v>
      </c>
      <c r="E14" s="48">
        <f>IFERROR(SUMIFS('4_ZBB_Charges'!$H:$H,'4_ZBB_Charges'!$B:$B,"6143",'4_ZBB_Charges'!$D:$D,"Qualité")-SUMIFS('4_ZBB_Charges'!$G:$G,'4_ZBB_Charges'!$B:$B,"6143",'4_ZBB_Charges'!$D:$D,"Qualité"),0)</f>
        <v>0</v>
      </c>
      <c r="F14" s="48">
        <f>IFERROR(SUMIFS('4_ZBB_Charges'!$H:$H,'4_ZBB_Charges'!$B:$B,"6143",'4_ZBB_Charges'!$D:$D,"Logistique")-SUMIFS('4_ZBB_Charges'!$G:$G,'4_ZBB_Charges'!$B:$B,"6143",'4_ZBB_Charges'!$D:$D,"Logistique"),0)</f>
        <v>0</v>
      </c>
      <c r="G14" s="48">
        <f>IFERROR(SUMIFS('4_ZBB_Charges'!$H:$H,'4_ZBB_Charges'!$B:$B,"6143",'4_ZBB_Charges'!$D:$D,"Commercial")-SUMIFS('4_ZBB_Charges'!$G:$G,'4_ZBB_Charges'!$B:$B,"6143",'4_ZBB_Charges'!$D:$D,"Commercial"),0)</f>
        <v>15000</v>
      </c>
      <c r="H14" s="48">
        <f>IFERROR(SUMIFS('4_ZBB_Charges'!$H:$H,'4_ZBB_Charges'!$B:$B,"6143",'4_ZBB_Charges'!$D:$D,"Admin/Finance")-SUMIFS('4_ZBB_Charges'!$G:$G,'4_ZBB_Charges'!$B:$B,"6143",'4_ZBB_Charges'!$D:$D,"Admin/Finance"),0)</f>
        <v>0</v>
      </c>
      <c r="I14" s="55">
        <f t="shared" si="0"/>
        <v>15000</v>
      </c>
    </row>
    <row r="15" spans="2:9" ht="22.5" customHeight="1" x14ac:dyDescent="0.35">
      <c r="B15" s="45" t="s">
        <v>255</v>
      </c>
      <c r="C15" s="48">
        <f>IFERROR(SUMIFS('4_ZBB_Charges'!$H:$H,'4_ZBB_Charges'!$B:$B,"6144",'4_ZBB_Charges'!$D:$D,"Production")-SUMIFS('4_ZBB_Charges'!$G:$G,'4_ZBB_Charges'!$B:$B,"6144",'4_ZBB_Charges'!$D:$D,"Production"),0)</f>
        <v>0</v>
      </c>
      <c r="D15" s="48">
        <f>IFERROR(SUMIFS('4_ZBB_Charges'!$H:$H,'4_ZBB_Charges'!$B:$B,"6144",'4_ZBB_Charges'!$D:$D,"Maintenance")-SUMIFS('4_ZBB_Charges'!$G:$G,'4_ZBB_Charges'!$B:$B,"6144",'4_ZBB_Charges'!$D:$D,"Maintenance"),0)</f>
        <v>0</v>
      </c>
      <c r="E15" s="48">
        <f>IFERROR(SUMIFS('4_ZBB_Charges'!$H:$H,'4_ZBB_Charges'!$B:$B,"6144",'4_ZBB_Charges'!$D:$D,"Qualité")-SUMIFS('4_ZBB_Charges'!$G:$G,'4_ZBB_Charges'!$B:$B,"6144",'4_ZBB_Charges'!$D:$D,"Qualité"),0)</f>
        <v>0</v>
      </c>
      <c r="F15" s="48">
        <f>IFERROR(SUMIFS('4_ZBB_Charges'!$H:$H,'4_ZBB_Charges'!$B:$B,"6144",'4_ZBB_Charges'!$D:$D,"Logistique")-SUMIFS('4_ZBB_Charges'!$G:$G,'4_ZBB_Charges'!$B:$B,"6144",'4_ZBB_Charges'!$D:$D,"Logistique"),0)</f>
        <v>0</v>
      </c>
      <c r="G15" s="48">
        <f>IFERROR(SUMIFS('4_ZBB_Charges'!$H:$H,'4_ZBB_Charges'!$B:$B,"6144",'4_ZBB_Charges'!$D:$D,"Commercial")-SUMIFS('4_ZBB_Charges'!$G:$G,'4_ZBB_Charges'!$B:$B,"6144",'4_ZBB_Charges'!$D:$D,"Commercial"),0)</f>
        <v>40000</v>
      </c>
      <c r="H15" s="48">
        <f>IFERROR(SUMIFS('4_ZBB_Charges'!$H:$H,'4_ZBB_Charges'!$B:$B,"6144",'4_ZBB_Charges'!$D:$D,"Admin/Finance")-SUMIFS('4_ZBB_Charges'!$G:$G,'4_ZBB_Charges'!$B:$B,"6144",'4_ZBB_Charges'!$D:$D,"Admin/Finance"),0)</f>
        <v>0</v>
      </c>
      <c r="I15" s="55">
        <f t="shared" si="0"/>
        <v>40000</v>
      </c>
    </row>
    <row r="16" spans="2:9" ht="22.5" customHeight="1" x14ac:dyDescent="0.35">
      <c r="B16" s="45" t="s">
        <v>257</v>
      </c>
      <c r="C16" s="48">
        <f>IFERROR(SUMIFS('4_ZBB_Charges'!$H:$H,'4_ZBB_Charges'!$B:$B,"6145",'4_ZBB_Charges'!$D:$D,"Production")-SUMIFS('4_ZBB_Charges'!$G:$G,'4_ZBB_Charges'!$B:$B,"6145",'4_ZBB_Charges'!$D:$D,"Production"),0)</f>
        <v>0</v>
      </c>
      <c r="D16" s="48">
        <f>IFERROR(SUMIFS('4_ZBB_Charges'!$H:$H,'4_ZBB_Charges'!$B:$B,"6145",'4_ZBB_Charges'!$D:$D,"Maintenance")-SUMIFS('4_ZBB_Charges'!$G:$G,'4_ZBB_Charges'!$B:$B,"6145",'4_ZBB_Charges'!$D:$D,"Maintenance"),0)</f>
        <v>0</v>
      </c>
      <c r="E16" s="48">
        <f>IFERROR(SUMIFS('4_ZBB_Charges'!$H:$H,'4_ZBB_Charges'!$B:$B,"6145",'4_ZBB_Charges'!$D:$D,"Qualité")-SUMIFS('4_ZBB_Charges'!$G:$G,'4_ZBB_Charges'!$B:$B,"6145",'4_ZBB_Charges'!$D:$D,"Qualité"),0)</f>
        <v>0</v>
      </c>
      <c r="F16" s="48">
        <f>IFERROR(SUMIFS('4_ZBB_Charges'!$H:$H,'4_ZBB_Charges'!$B:$B,"6145",'4_ZBB_Charges'!$D:$D,"Logistique")-SUMIFS('4_ZBB_Charges'!$G:$G,'4_ZBB_Charges'!$B:$B,"6145",'4_ZBB_Charges'!$D:$D,"Logistique"),0)</f>
        <v>0</v>
      </c>
      <c r="G16" s="48">
        <f>IFERROR(SUMIFS('4_ZBB_Charges'!$H:$H,'4_ZBB_Charges'!$B:$B,"6145",'4_ZBB_Charges'!$D:$D,"Commercial")-SUMIFS('4_ZBB_Charges'!$G:$G,'4_ZBB_Charges'!$B:$B,"6145",'4_ZBB_Charges'!$D:$D,"Commercial"),0)</f>
        <v>0</v>
      </c>
      <c r="H16" s="48">
        <f>IFERROR(SUMIFS('4_ZBB_Charges'!$H:$H,'4_ZBB_Charges'!$B:$B,"6145",'4_ZBB_Charges'!$D:$D,"Admin/Finance")-SUMIFS('4_ZBB_Charges'!$G:$G,'4_ZBB_Charges'!$B:$B,"6145",'4_ZBB_Charges'!$D:$D,"Admin/Finance"),0)</f>
        <v>4000</v>
      </c>
      <c r="I16" s="55">
        <f t="shared" si="0"/>
        <v>4000</v>
      </c>
    </row>
    <row r="17" spans="1:9" ht="22.5" customHeight="1" x14ac:dyDescent="0.35">
      <c r="B17" s="45" t="s">
        <v>259</v>
      </c>
      <c r="C17" s="48">
        <f>IFERROR(SUMIFS('4_ZBB_Charges'!$H:$H,'4_ZBB_Charges'!$B:$B,"6146",'4_ZBB_Charges'!$D:$D,"Production")-SUMIFS('4_ZBB_Charges'!$G:$G,'4_ZBB_Charges'!$B:$B,"6146",'4_ZBB_Charges'!$D:$D,"Production"),0)</f>
        <v>0</v>
      </c>
      <c r="D17" s="48">
        <f>IFERROR(SUMIFS('4_ZBB_Charges'!$H:$H,'4_ZBB_Charges'!$B:$B,"6146",'4_ZBB_Charges'!$D:$D,"Maintenance")-SUMIFS('4_ZBB_Charges'!$G:$G,'4_ZBB_Charges'!$B:$B,"6146",'4_ZBB_Charges'!$D:$D,"Maintenance"),0)</f>
        <v>0</v>
      </c>
      <c r="E17" s="48">
        <f>IFERROR(SUMIFS('4_ZBB_Charges'!$H:$H,'4_ZBB_Charges'!$B:$B,"6146",'4_ZBB_Charges'!$D:$D,"Qualité")-SUMIFS('4_ZBB_Charges'!$G:$G,'4_ZBB_Charges'!$B:$B,"6146",'4_ZBB_Charges'!$D:$D,"Qualité"),0)</f>
        <v>0</v>
      </c>
      <c r="F17" s="48">
        <f>IFERROR(SUMIFS('4_ZBB_Charges'!$H:$H,'4_ZBB_Charges'!$B:$B,"6146",'4_ZBB_Charges'!$D:$D,"Logistique")-SUMIFS('4_ZBB_Charges'!$G:$G,'4_ZBB_Charges'!$B:$B,"6146",'4_ZBB_Charges'!$D:$D,"Logistique"),0)</f>
        <v>0</v>
      </c>
      <c r="G17" s="48">
        <f>IFERROR(SUMIFS('4_ZBB_Charges'!$H:$H,'4_ZBB_Charges'!$B:$B,"6146",'4_ZBB_Charges'!$D:$D,"Commercial")-SUMIFS('4_ZBB_Charges'!$G:$G,'4_ZBB_Charges'!$B:$B,"6146",'4_ZBB_Charges'!$D:$D,"Commercial"),0)</f>
        <v>0</v>
      </c>
      <c r="H17" s="48">
        <f>IFERROR(SUMIFS('4_ZBB_Charges'!$H:$H,'4_ZBB_Charges'!$B:$B,"6146",'4_ZBB_Charges'!$D:$D,"Admin/Finance")-SUMIFS('4_ZBB_Charges'!$G:$G,'4_ZBB_Charges'!$B:$B,"6146",'4_ZBB_Charges'!$D:$D,"Admin/Finance"),0)</f>
        <v>2000</v>
      </c>
      <c r="I17" s="55">
        <f t="shared" si="0"/>
        <v>2000</v>
      </c>
    </row>
    <row r="18" spans="1:9" ht="22.5" customHeight="1" x14ac:dyDescent="0.35">
      <c r="B18" s="45" t="s">
        <v>261</v>
      </c>
      <c r="C18" s="48">
        <f>IFERROR(SUMIFS('4_ZBB_Charges'!$H:$H,'4_ZBB_Charges'!$B:$B,"6147",'4_ZBB_Charges'!$D:$D,"Production")-SUMIFS('4_ZBB_Charges'!$G:$G,'4_ZBB_Charges'!$B:$B,"6147",'4_ZBB_Charges'!$D:$D,"Production"),0)</f>
        <v>0</v>
      </c>
      <c r="D18" s="48">
        <f>IFERROR(SUMIFS('4_ZBB_Charges'!$H:$H,'4_ZBB_Charges'!$B:$B,"6147",'4_ZBB_Charges'!$D:$D,"Maintenance")-SUMIFS('4_ZBB_Charges'!$G:$G,'4_ZBB_Charges'!$B:$B,"6147",'4_ZBB_Charges'!$D:$D,"Maintenance"),0)</f>
        <v>0</v>
      </c>
      <c r="E18" s="48">
        <f>IFERROR(SUMIFS('4_ZBB_Charges'!$H:$H,'4_ZBB_Charges'!$B:$B,"6147",'4_ZBB_Charges'!$D:$D,"Qualité")-SUMIFS('4_ZBB_Charges'!$G:$G,'4_ZBB_Charges'!$B:$B,"6147",'4_ZBB_Charges'!$D:$D,"Qualité"),0)</f>
        <v>0</v>
      </c>
      <c r="F18" s="48">
        <f>IFERROR(SUMIFS('4_ZBB_Charges'!$H:$H,'4_ZBB_Charges'!$B:$B,"6147",'4_ZBB_Charges'!$D:$D,"Logistique")-SUMIFS('4_ZBB_Charges'!$G:$G,'4_ZBB_Charges'!$B:$B,"6147",'4_ZBB_Charges'!$D:$D,"Logistique"),0)</f>
        <v>0</v>
      </c>
      <c r="G18" s="48">
        <f>IFERROR(SUMIFS('4_ZBB_Charges'!$H:$H,'4_ZBB_Charges'!$B:$B,"6147",'4_ZBB_Charges'!$D:$D,"Commercial")-SUMIFS('4_ZBB_Charges'!$G:$G,'4_ZBB_Charges'!$B:$B,"6147",'4_ZBB_Charges'!$D:$D,"Commercial"),0)</f>
        <v>0</v>
      </c>
      <c r="H18" s="48">
        <f>IFERROR(SUMIFS('4_ZBB_Charges'!$H:$H,'4_ZBB_Charges'!$B:$B,"6147",'4_ZBB_Charges'!$D:$D,"Admin/Finance")-SUMIFS('4_ZBB_Charges'!$G:$G,'4_ZBB_Charges'!$B:$B,"6147",'4_ZBB_Charges'!$D:$D,"Admin/Finance"),0)</f>
        <v>7000</v>
      </c>
      <c r="I18" s="55">
        <f t="shared" si="0"/>
        <v>7000</v>
      </c>
    </row>
    <row r="19" spans="1:9" ht="22.5" customHeight="1" x14ac:dyDescent="0.35">
      <c r="B19" s="45" t="s">
        <v>263</v>
      </c>
      <c r="C19" s="48">
        <f>IFERROR(SUMIFS('4_ZBB_Charges'!$H:$H,'4_ZBB_Charges'!$B:$B,"6148",'4_ZBB_Charges'!$D:$D,"Production")-SUMIFS('4_ZBB_Charges'!$G:$G,'4_ZBB_Charges'!$B:$B,"6148",'4_ZBB_Charges'!$D:$D,"Production"),0)</f>
        <v>0</v>
      </c>
      <c r="D19" s="48">
        <f>IFERROR(SUMIFS('4_ZBB_Charges'!$H:$H,'4_ZBB_Charges'!$B:$B,"6148",'4_ZBB_Charges'!$D:$D,"Maintenance")-SUMIFS('4_ZBB_Charges'!$G:$G,'4_ZBB_Charges'!$B:$B,"6148",'4_ZBB_Charges'!$D:$D,"Maintenance"),0)</f>
        <v>0</v>
      </c>
      <c r="E19" s="48">
        <f>IFERROR(SUMIFS('4_ZBB_Charges'!$H:$H,'4_ZBB_Charges'!$B:$B,"6148",'4_ZBB_Charges'!$D:$D,"Qualité")-SUMIFS('4_ZBB_Charges'!$G:$G,'4_ZBB_Charges'!$B:$B,"6148",'4_ZBB_Charges'!$D:$D,"Qualité"),0)</f>
        <v>0</v>
      </c>
      <c r="F19" s="48">
        <f>IFERROR(SUMIFS('4_ZBB_Charges'!$H:$H,'4_ZBB_Charges'!$B:$B,"6148",'4_ZBB_Charges'!$D:$D,"Logistique")-SUMIFS('4_ZBB_Charges'!$G:$G,'4_ZBB_Charges'!$B:$B,"6148",'4_ZBB_Charges'!$D:$D,"Logistique"),0)</f>
        <v>0</v>
      </c>
      <c r="G19" s="48">
        <f>IFERROR(SUMIFS('4_ZBB_Charges'!$H:$H,'4_ZBB_Charges'!$B:$B,"6148",'4_ZBB_Charges'!$D:$D,"Commercial")-SUMIFS('4_ZBB_Charges'!$G:$G,'4_ZBB_Charges'!$B:$B,"6148",'4_ZBB_Charges'!$D:$D,"Commercial"),0)</f>
        <v>0</v>
      </c>
      <c r="H19" s="48">
        <f>IFERROR(SUMIFS('4_ZBB_Charges'!$H:$H,'4_ZBB_Charges'!$B:$B,"6148",'4_ZBB_Charges'!$D:$D,"Admin/Finance")-SUMIFS('4_ZBB_Charges'!$G:$G,'4_ZBB_Charges'!$B:$B,"6148",'4_ZBB_Charges'!$D:$D,"Admin/Finance"),0)</f>
        <v>8000</v>
      </c>
      <c r="I19" s="55">
        <f t="shared" si="0"/>
        <v>8000</v>
      </c>
    </row>
    <row r="20" spans="1:9" ht="22.5" customHeight="1" x14ac:dyDescent="0.25">
      <c r="B20" s="56" t="s">
        <v>209</v>
      </c>
      <c r="C20" s="57">
        <f t="shared" ref="C20:H20" si="1">SUM(C6:C19)</f>
        <v>40000</v>
      </c>
      <c r="D20" s="57">
        <f t="shared" si="1"/>
        <v>-15000</v>
      </c>
      <c r="E20" s="57">
        <f t="shared" si="1"/>
        <v>0</v>
      </c>
      <c r="F20" s="57">
        <f t="shared" si="1"/>
        <v>93000</v>
      </c>
      <c r="G20" s="57">
        <f t="shared" si="1"/>
        <v>95000</v>
      </c>
      <c r="H20" s="57">
        <f t="shared" si="1"/>
        <v>63000</v>
      </c>
      <c r="I20" s="57">
        <f t="shared" si="0"/>
        <v>276000</v>
      </c>
    </row>
    <row r="23" spans="1:9" ht="18" customHeight="1" x14ac:dyDescent="0.25">
      <c r="A23" s="60" t="s">
        <v>50</v>
      </c>
      <c r="B23" s="60"/>
      <c r="C23" s="60"/>
      <c r="D23" s="60"/>
      <c r="E23" s="60"/>
      <c r="F23" s="60"/>
      <c r="G23" s="60"/>
      <c r="H23" s="60"/>
      <c r="I23" s="60"/>
    </row>
  </sheetData>
  <mergeCells count="2">
    <mergeCell ref="B1:I1"/>
    <mergeCell ref="A23:I23"/>
  </mergeCells>
  <conditionalFormatting sqref="C6:H19">
    <cfRule type="colorScale" priority="2">
      <colorScale>
        <cfvo type="min"/>
        <cfvo type="num" val="0"/>
        <cfvo type="max"/>
        <color rgb="FF63BE7B"/>
        <color rgb="FFFFFFFF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95959"/>
  </sheetPr>
  <dimension ref="A1:G35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6" customWidth="1"/>
    <col min="3" max="3" width="50" customWidth="1"/>
    <col min="4" max="5" width="18" customWidth="1"/>
    <col min="6" max="6" width="14" customWidth="1"/>
    <col min="7" max="7" width="40" customWidth="1"/>
  </cols>
  <sheetData>
    <row r="1" spans="2:7" ht="36" customHeight="1" x14ac:dyDescent="0.25">
      <c r="B1" s="61" t="s">
        <v>694</v>
      </c>
      <c r="C1" s="61"/>
      <c r="D1" s="61"/>
      <c r="E1" s="61"/>
      <c r="F1" s="61"/>
      <c r="G1" s="61"/>
    </row>
    <row r="3" spans="2:7" ht="15.75" x14ac:dyDescent="0.25">
      <c r="B3" s="59" t="s">
        <v>695</v>
      </c>
      <c r="C3" s="59"/>
      <c r="D3" s="59"/>
      <c r="E3" s="59"/>
      <c r="F3" s="59"/>
      <c r="G3" s="59"/>
    </row>
    <row r="4" spans="2:7" ht="27.75" customHeight="1" x14ac:dyDescent="0.25">
      <c r="B4" s="6" t="s">
        <v>696</v>
      </c>
      <c r="C4" s="6" t="s">
        <v>697</v>
      </c>
      <c r="D4" s="6" t="s">
        <v>698</v>
      </c>
      <c r="E4" s="6" t="s">
        <v>699</v>
      </c>
      <c r="F4" s="6" t="s">
        <v>132</v>
      </c>
      <c r="G4" s="6" t="s">
        <v>141</v>
      </c>
    </row>
    <row r="5" spans="2:7" x14ac:dyDescent="0.25">
      <c r="B5" s="19">
        <v>1</v>
      </c>
      <c r="C5" s="3" t="s">
        <v>700</v>
      </c>
      <c r="D5" s="24">
        <f>EQUILIBRE_BILAN_NPLUS1</f>
        <v>126538241.53000003</v>
      </c>
      <c r="E5" s="42">
        <v>1</v>
      </c>
      <c r="F5" s="19" t="str">
        <f>IF(ABS(D5)&lt;=E5,"✓ OK","✗ ERREUR")</f>
        <v>✗ ERREUR</v>
      </c>
      <c r="G5" s="2" t="s">
        <v>701</v>
      </c>
    </row>
    <row r="6" spans="2:7" x14ac:dyDescent="0.25">
      <c r="B6" s="19">
        <v>2</v>
      </c>
      <c r="C6" s="3" t="s">
        <v>702</v>
      </c>
      <c r="D6" s="24">
        <f>(VENTES_711+VENTES_712)-CA_TOTAL_NPLUS1</f>
        <v>0</v>
      </c>
      <c r="E6" s="42">
        <v>1</v>
      </c>
      <c r="F6" s="19" t="str">
        <f>IF(ABS(D6)&lt;=E6,"✓ OK","✗ ERREUR")</f>
        <v>✓ OK</v>
      </c>
      <c r="G6" s="2" t="s">
        <v>703</v>
      </c>
    </row>
    <row r="7" spans="2:7" x14ac:dyDescent="0.25">
      <c r="B7" s="19">
        <v>3</v>
      </c>
      <c r="C7" s="3" t="s">
        <v>704</v>
      </c>
      <c r="D7" s="24">
        <f>ZBB_BUDGET_NPLUS1</f>
        <v>7756000</v>
      </c>
      <c r="E7" s="42">
        <v>0</v>
      </c>
      <c r="F7" s="19" t="str">
        <f>IF(D7&gt;0,"✓ OK","⚠ Alerte")</f>
        <v>✓ OK</v>
      </c>
      <c r="G7" s="2" t="s">
        <v>705</v>
      </c>
    </row>
    <row r="8" spans="2:7" x14ac:dyDescent="0.25">
      <c r="B8" s="19">
        <v>4</v>
      </c>
      <c r="C8" s="3" t="s">
        <v>706</v>
      </c>
      <c r="D8" s="24">
        <f>COUT_EMPLOYEUR_TOTAL</f>
        <v>59684292.600000001</v>
      </c>
      <c r="E8" s="42">
        <v>0</v>
      </c>
      <c r="F8" s="19" t="str">
        <f>IF(D8&gt;0,"✓ OK","⚠ Alerte")</f>
        <v>✓ OK</v>
      </c>
      <c r="G8" s="2" t="s">
        <v>707</v>
      </c>
    </row>
    <row r="9" spans="2:7" x14ac:dyDescent="0.25">
      <c r="B9" s="19">
        <v>5</v>
      </c>
      <c r="C9" s="3" t="s">
        <v>708</v>
      </c>
      <c r="D9" s="24">
        <f>IS_DU_NPLUS1-MAX((VENTES_711+VENTES_712)*TAUX_CM,CM_PLANCHER)</f>
        <v>0</v>
      </c>
      <c r="E9" s="42">
        <v>0</v>
      </c>
      <c r="F9" s="19" t="str">
        <f>IF(D9&gt;=0,"✓ OK","⚠ Vérifier")</f>
        <v>✓ OK</v>
      </c>
      <c r="G9" s="2" t="s">
        <v>709</v>
      </c>
    </row>
    <row r="10" spans="2:7" x14ac:dyDescent="0.25">
      <c r="B10" s="19">
        <v>6</v>
      </c>
      <c r="C10" s="3" t="s">
        <v>710</v>
      </c>
      <c r="D10" s="24">
        <f>(VENTES_711+VENTES_712)-('6_CPC_Normalisé'!F17+'6_CPC_Normalisé'!F18)</f>
        <v>128535572</v>
      </c>
      <c r="E10" s="42">
        <v>0</v>
      </c>
      <c r="F10" s="19" t="str">
        <f>IF(D10&gt;0,"✓ OK","⚠ Alerte")</f>
        <v>✓ OK</v>
      </c>
      <c r="G10" s="2" t="s">
        <v>711</v>
      </c>
    </row>
    <row r="11" spans="2:7" x14ac:dyDescent="0.25">
      <c r="B11" s="19">
        <v>7</v>
      </c>
      <c r="C11" s="3" t="s">
        <v>712</v>
      </c>
      <c r="D11" s="24">
        <f>EBITDA_NPLUS1</f>
        <v>-97108720.600000024</v>
      </c>
      <c r="E11" s="42">
        <v>0</v>
      </c>
      <c r="F11" s="19" t="str">
        <f>IF(D11&gt;0,"✓ OK","⚠ Alerte")</f>
        <v>⚠ Alerte</v>
      </c>
      <c r="G11" s="2" t="s">
        <v>713</v>
      </c>
    </row>
    <row r="12" spans="2:7" x14ac:dyDescent="0.25">
      <c r="B12" s="19">
        <v>8</v>
      </c>
      <c r="C12" s="3" t="s">
        <v>714</v>
      </c>
      <c r="D12" s="24">
        <f>RESULTAT_NET_NPLUS1</f>
        <v>-109564449.53000003</v>
      </c>
      <c r="E12" s="42">
        <v>0</v>
      </c>
      <c r="F12" s="19" t="str">
        <f>IF(D12&gt;0,"✓ OK","⚠ Alerte")</f>
        <v>⚠ Alerte</v>
      </c>
      <c r="G12" s="2" t="s">
        <v>715</v>
      </c>
    </row>
    <row r="13" spans="2:7" x14ac:dyDescent="0.25">
      <c r="B13" s="19">
        <v>9</v>
      </c>
      <c r="C13" s="3" t="s">
        <v>716</v>
      </c>
      <c r="D13" s="24">
        <f>BFR_NPLUS1</f>
        <v>41700000</v>
      </c>
      <c r="E13" s="42">
        <v>0</v>
      </c>
      <c r="F13" s="19" t="str">
        <f>IF(D13&gt;0,"✓ OK","⚠ Alerte")</f>
        <v>✓ OK</v>
      </c>
      <c r="G13" s="2" t="s">
        <v>717</v>
      </c>
    </row>
    <row r="14" spans="2:7" x14ac:dyDescent="0.25">
      <c r="B14" s="19">
        <v>10</v>
      </c>
      <c r="C14" s="3" t="s">
        <v>718</v>
      </c>
      <c r="D14" s="24">
        <f>GEAR_NPLUS1</f>
        <v>-0.20867678508276735</v>
      </c>
      <c r="E14" s="42">
        <v>0</v>
      </c>
      <c r="F14" s="19" t="str">
        <f>IF(D14&lt;1,"✓ OK","⚠ Élevé")</f>
        <v>✓ OK</v>
      </c>
      <c r="G14" s="2" t="s">
        <v>719</v>
      </c>
    </row>
    <row r="17" spans="2:7" ht="15.75" x14ac:dyDescent="0.25">
      <c r="B17" s="59" t="s">
        <v>720</v>
      </c>
      <c r="C17" s="59"/>
      <c r="D17" s="59"/>
      <c r="E17" s="59"/>
      <c r="F17" s="59"/>
      <c r="G17" s="59"/>
    </row>
    <row r="18" spans="2:7" ht="27.75" customHeight="1" x14ac:dyDescent="0.25">
      <c r="B18" s="6" t="s">
        <v>696</v>
      </c>
      <c r="C18" s="6" t="s">
        <v>721</v>
      </c>
      <c r="D18" s="6"/>
      <c r="E18" s="6"/>
      <c r="F18" s="6" t="s">
        <v>722</v>
      </c>
      <c r="G18" s="6" t="s">
        <v>723</v>
      </c>
    </row>
    <row r="19" spans="2:7" x14ac:dyDescent="0.25">
      <c r="B19" s="19">
        <v>1</v>
      </c>
      <c r="C19" s="66" t="s">
        <v>724</v>
      </c>
      <c r="D19" s="66"/>
      <c r="E19" s="66"/>
      <c r="F19" s="43" t="s">
        <v>725</v>
      </c>
      <c r="G19" s="33"/>
    </row>
    <row r="20" spans="2:7" x14ac:dyDescent="0.25">
      <c r="B20" s="19">
        <v>2</v>
      </c>
      <c r="C20" s="66" t="s">
        <v>726</v>
      </c>
      <c r="D20" s="66"/>
      <c r="E20" s="66"/>
      <c r="F20" s="43" t="s">
        <v>725</v>
      </c>
      <c r="G20" s="33"/>
    </row>
    <row r="21" spans="2:7" x14ac:dyDescent="0.25">
      <c r="B21" s="19">
        <v>3</v>
      </c>
      <c r="C21" s="66" t="s">
        <v>727</v>
      </c>
      <c r="D21" s="66"/>
      <c r="E21" s="66"/>
      <c r="F21" s="43" t="s">
        <v>725</v>
      </c>
      <c r="G21" s="33"/>
    </row>
    <row r="22" spans="2:7" x14ac:dyDescent="0.25">
      <c r="B22" s="19">
        <v>4</v>
      </c>
      <c r="C22" s="66" t="s">
        <v>728</v>
      </c>
      <c r="D22" s="66"/>
      <c r="E22" s="66"/>
      <c r="F22" s="43" t="s">
        <v>725</v>
      </c>
      <c r="G22" s="33"/>
    </row>
    <row r="23" spans="2:7" x14ac:dyDescent="0.25">
      <c r="B23" s="19">
        <v>5</v>
      </c>
      <c r="C23" s="66" t="s">
        <v>729</v>
      </c>
      <c r="D23" s="66"/>
      <c r="E23" s="66"/>
      <c r="F23" s="43" t="s">
        <v>725</v>
      </c>
      <c r="G23" s="33"/>
    </row>
    <row r="24" spans="2:7" x14ac:dyDescent="0.25">
      <c r="B24" s="19">
        <v>6</v>
      </c>
      <c r="C24" s="66" t="s">
        <v>730</v>
      </c>
      <c r="D24" s="66"/>
      <c r="E24" s="66"/>
      <c r="F24" s="43" t="s">
        <v>725</v>
      </c>
      <c r="G24" s="33"/>
    </row>
    <row r="25" spans="2:7" x14ac:dyDescent="0.25">
      <c r="B25" s="19">
        <v>7</v>
      </c>
      <c r="C25" s="66" t="s">
        <v>731</v>
      </c>
      <c r="D25" s="66"/>
      <c r="E25" s="66"/>
      <c r="F25" s="43" t="s">
        <v>725</v>
      </c>
      <c r="G25" s="33"/>
    </row>
    <row r="26" spans="2:7" x14ac:dyDescent="0.25">
      <c r="B26" s="19">
        <v>8</v>
      </c>
      <c r="C26" s="66" t="s">
        <v>732</v>
      </c>
      <c r="D26" s="66"/>
      <c r="E26" s="66"/>
      <c r="F26" s="43" t="s">
        <v>725</v>
      </c>
      <c r="G26" s="33"/>
    </row>
    <row r="27" spans="2:7" x14ac:dyDescent="0.25">
      <c r="B27" s="19">
        <v>9</v>
      </c>
      <c r="C27" s="66" t="s">
        <v>733</v>
      </c>
      <c r="D27" s="66"/>
      <c r="E27" s="66"/>
      <c r="F27" s="43" t="s">
        <v>725</v>
      </c>
      <c r="G27" s="33"/>
    </row>
    <row r="28" spans="2:7" x14ac:dyDescent="0.25">
      <c r="B28" s="19">
        <v>10</v>
      </c>
      <c r="C28" s="66" t="s">
        <v>734</v>
      </c>
      <c r="D28" s="66"/>
      <c r="E28" s="66"/>
      <c r="F28" s="43" t="s">
        <v>725</v>
      </c>
      <c r="G28" s="33"/>
    </row>
    <row r="29" spans="2:7" x14ac:dyDescent="0.25">
      <c r="B29" s="19">
        <v>11</v>
      </c>
      <c r="C29" s="66" t="s">
        <v>735</v>
      </c>
      <c r="D29" s="66"/>
      <c r="E29" s="66"/>
      <c r="F29" s="43" t="s">
        <v>725</v>
      </c>
      <c r="G29" s="33"/>
    </row>
    <row r="30" spans="2:7" x14ac:dyDescent="0.25">
      <c r="B30" s="19">
        <v>12</v>
      </c>
      <c r="C30" s="66" t="s">
        <v>736</v>
      </c>
      <c r="D30" s="66"/>
      <c r="E30" s="66"/>
      <c r="F30" s="43" t="s">
        <v>725</v>
      </c>
      <c r="G30" s="33"/>
    </row>
    <row r="31" spans="2:7" x14ac:dyDescent="0.25">
      <c r="B31" s="19">
        <v>13</v>
      </c>
      <c r="C31" s="66" t="s">
        <v>737</v>
      </c>
      <c r="D31" s="66"/>
      <c r="E31" s="66"/>
      <c r="F31" s="43" t="s">
        <v>725</v>
      </c>
      <c r="G31" s="33"/>
    </row>
    <row r="32" spans="2:7" x14ac:dyDescent="0.25">
      <c r="B32" s="19">
        <v>14</v>
      </c>
      <c r="C32" s="66" t="s">
        <v>738</v>
      </c>
      <c r="D32" s="66"/>
      <c r="E32" s="66"/>
      <c r="F32" s="43" t="s">
        <v>725</v>
      </c>
      <c r="G32" s="33"/>
    </row>
    <row r="35" spans="1:7" ht="18" customHeight="1" x14ac:dyDescent="0.25">
      <c r="A35" s="60" t="s">
        <v>50</v>
      </c>
      <c r="B35" s="60"/>
      <c r="C35" s="60"/>
      <c r="D35" s="60"/>
      <c r="E35" s="60"/>
      <c r="F35" s="60"/>
      <c r="G35" s="60"/>
    </row>
  </sheetData>
  <mergeCells count="18">
    <mergeCell ref="C31:E31"/>
    <mergeCell ref="C32:E32"/>
    <mergeCell ref="A35:G35"/>
    <mergeCell ref="C26:E26"/>
    <mergeCell ref="C27:E27"/>
    <mergeCell ref="C28:E28"/>
    <mergeCell ref="C29:E29"/>
    <mergeCell ref="C30:E30"/>
    <mergeCell ref="C21:E21"/>
    <mergeCell ref="C22:E22"/>
    <mergeCell ref="C23:E23"/>
    <mergeCell ref="C24:E24"/>
    <mergeCell ref="C25:E25"/>
    <mergeCell ref="B1:G1"/>
    <mergeCell ref="B3:G3"/>
    <mergeCell ref="B17:G17"/>
    <mergeCell ref="C19:E19"/>
    <mergeCell ref="C20:E20"/>
  </mergeCells>
  <conditionalFormatting sqref="F5:F14">
    <cfRule type="expression" dxfId="2" priority="2">
      <formula>ISNUMBER(SEARCH("OK",F5))</formula>
    </cfRule>
    <cfRule type="expression" dxfId="1" priority="3">
      <formula>ISNUMBER(SEARCH("Alerte",F5))</formula>
    </cfRule>
    <cfRule type="expression" dxfId="0" priority="4">
      <formula>OR(ISNUMBER(SEARCH("ERREUR",F5)),ISNUMBER(SEARCH("Vérifier",F5)),ISNUMBER(SEARCH("Élevé",F5)))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95959"/>
  </sheetPr>
  <dimension ref="A1:E50"/>
  <sheetViews>
    <sheetView showGridLines="0" tabSelected="1" zoomScaleNormal="100" workbookViewId="0"/>
  </sheetViews>
  <sheetFormatPr baseColWidth="10" defaultColWidth="8.7109375" defaultRowHeight="15" x14ac:dyDescent="0.25"/>
  <cols>
    <col min="1" max="1" width="4" customWidth="1"/>
    <col min="2" max="2" width="28" customWidth="1"/>
    <col min="3" max="3" width="60" customWidth="1"/>
    <col min="4" max="4" width="18" customWidth="1"/>
    <col min="5" max="5" width="30" customWidth="1"/>
  </cols>
  <sheetData>
    <row r="1" spans="2:5" ht="36" customHeight="1" x14ac:dyDescent="0.25">
      <c r="B1" s="61" t="s">
        <v>739</v>
      </c>
      <c r="C1" s="61"/>
      <c r="D1" s="61"/>
      <c r="E1" s="61"/>
    </row>
    <row r="3" spans="2:5" x14ac:dyDescent="0.25">
      <c r="B3" s="4" t="s">
        <v>740</v>
      </c>
    </row>
    <row r="5" spans="2:5" ht="15.75" x14ac:dyDescent="0.25">
      <c r="B5" s="59" t="s">
        <v>741</v>
      </c>
      <c r="C5" s="59"/>
      <c r="D5" s="59"/>
      <c r="E5" s="59"/>
    </row>
    <row r="6" spans="2:5" ht="27.75" customHeight="1" x14ac:dyDescent="0.25">
      <c r="B6" s="6" t="s">
        <v>742</v>
      </c>
      <c r="C6" s="6" t="s">
        <v>6</v>
      </c>
      <c r="D6" s="6" t="s">
        <v>743</v>
      </c>
      <c r="E6" s="6" t="s">
        <v>744</v>
      </c>
    </row>
    <row r="7" spans="2:5" x14ac:dyDescent="0.25">
      <c r="B7" s="7" t="s">
        <v>745</v>
      </c>
      <c r="C7" s="3" t="s">
        <v>746</v>
      </c>
      <c r="D7" s="10" t="s">
        <v>747</v>
      </c>
      <c r="E7" s="10" t="s">
        <v>748</v>
      </c>
    </row>
    <row r="8" spans="2:5" x14ac:dyDescent="0.25">
      <c r="B8" s="7" t="s">
        <v>749</v>
      </c>
      <c r="C8" s="3" t="s">
        <v>750</v>
      </c>
      <c r="D8" s="10" t="s">
        <v>747</v>
      </c>
      <c r="E8" s="10" t="s">
        <v>748</v>
      </c>
    </row>
    <row r="9" spans="2:5" x14ac:dyDescent="0.25">
      <c r="B9" s="7" t="s">
        <v>751</v>
      </c>
      <c r="C9" s="3" t="s">
        <v>752</v>
      </c>
      <c r="D9" s="10" t="s">
        <v>747</v>
      </c>
      <c r="E9" s="10" t="s">
        <v>748</v>
      </c>
    </row>
    <row r="10" spans="2:5" x14ac:dyDescent="0.25">
      <c r="B10" s="7" t="s">
        <v>753</v>
      </c>
      <c r="C10" s="3" t="s">
        <v>754</v>
      </c>
      <c r="D10" s="10" t="s">
        <v>755</v>
      </c>
      <c r="E10" s="10" t="s">
        <v>748</v>
      </c>
    </row>
    <row r="11" spans="2:5" x14ac:dyDescent="0.25">
      <c r="B11" s="7" t="s">
        <v>756</v>
      </c>
      <c r="C11" s="3" t="s">
        <v>757</v>
      </c>
      <c r="D11" s="10" t="s">
        <v>755</v>
      </c>
      <c r="E11" s="10" t="s">
        <v>758</v>
      </c>
    </row>
    <row r="12" spans="2:5" x14ac:dyDescent="0.25">
      <c r="B12" s="7" t="s">
        <v>759</v>
      </c>
      <c r="C12" s="3" t="s">
        <v>760</v>
      </c>
      <c r="D12" s="10" t="s">
        <v>761</v>
      </c>
      <c r="E12" s="10" t="s">
        <v>748</v>
      </c>
    </row>
    <row r="15" spans="2:5" ht="15.75" x14ac:dyDescent="0.25">
      <c r="B15" s="59" t="s">
        <v>762</v>
      </c>
      <c r="C15" s="59"/>
      <c r="D15" s="59"/>
      <c r="E15" s="59"/>
    </row>
    <row r="16" spans="2:5" ht="19.5" customHeight="1" x14ac:dyDescent="0.25">
      <c r="B16" s="66" t="s">
        <v>763</v>
      </c>
      <c r="C16" s="66"/>
      <c r="D16" s="66"/>
      <c r="E16" s="66"/>
    </row>
    <row r="17" spans="2:5" ht="19.5" customHeight="1" x14ac:dyDescent="0.25">
      <c r="B17" s="66" t="s">
        <v>764</v>
      </c>
      <c r="C17" s="66"/>
      <c r="D17" s="66"/>
      <c r="E17" s="66"/>
    </row>
    <row r="18" spans="2:5" ht="19.5" customHeight="1" x14ac:dyDescent="0.25">
      <c r="B18" s="66" t="s">
        <v>765</v>
      </c>
      <c r="C18" s="66"/>
      <c r="D18" s="66"/>
      <c r="E18" s="66"/>
    </row>
    <row r="19" spans="2:5" ht="19.5" customHeight="1" x14ac:dyDescent="0.25">
      <c r="B19" s="66" t="s">
        <v>766</v>
      </c>
      <c r="C19" s="66"/>
      <c r="D19" s="66"/>
      <c r="E19" s="66"/>
    </row>
    <row r="20" spans="2:5" ht="19.5" customHeight="1" x14ac:dyDescent="0.25">
      <c r="B20" s="66" t="s">
        <v>767</v>
      </c>
      <c r="C20" s="66"/>
      <c r="D20" s="66"/>
      <c r="E20" s="66"/>
    </row>
    <row r="21" spans="2:5" ht="19.5" customHeight="1" x14ac:dyDescent="0.25">
      <c r="B21" s="66" t="s">
        <v>768</v>
      </c>
      <c r="C21" s="66"/>
      <c r="D21" s="66"/>
      <c r="E21" s="66"/>
    </row>
    <row r="22" spans="2:5" ht="19.5" customHeight="1" x14ac:dyDescent="0.25">
      <c r="B22" s="66" t="s">
        <v>769</v>
      </c>
      <c r="C22" s="66"/>
      <c r="D22" s="66"/>
      <c r="E22" s="66"/>
    </row>
    <row r="23" spans="2:5" ht="19.5" customHeight="1" x14ac:dyDescent="0.25">
      <c r="B23" s="66" t="s">
        <v>770</v>
      </c>
      <c r="C23" s="66"/>
      <c r="D23" s="66"/>
      <c r="E23" s="66"/>
    </row>
    <row r="24" spans="2:5" ht="19.5" customHeight="1" x14ac:dyDescent="0.25">
      <c r="B24" s="66" t="s">
        <v>771</v>
      </c>
      <c r="C24" s="66"/>
      <c r="D24" s="66"/>
      <c r="E24" s="66"/>
    </row>
    <row r="25" spans="2:5" ht="19.5" customHeight="1" x14ac:dyDescent="0.25">
      <c r="B25" s="66" t="s">
        <v>772</v>
      </c>
      <c r="C25" s="66"/>
      <c r="D25" s="66"/>
      <c r="E25" s="66"/>
    </row>
    <row r="26" spans="2:5" ht="19.5" customHeight="1" x14ac:dyDescent="0.25">
      <c r="B26" s="66" t="s">
        <v>773</v>
      </c>
      <c r="C26" s="66"/>
      <c r="D26" s="66"/>
      <c r="E26" s="66"/>
    </row>
    <row r="27" spans="2:5" ht="19.5" customHeight="1" x14ac:dyDescent="0.25">
      <c r="B27" s="66" t="s">
        <v>774</v>
      </c>
      <c r="C27" s="66"/>
      <c r="D27" s="66"/>
      <c r="E27" s="66"/>
    </row>
    <row r="30" spans="2:5" ht="15.75" x14ac:dyDescent="0.25">
      <c r="B30" s="59" t="s">
        <v>775</v>
      </c>
      <c r="C30" s="59"/>
      <c r="D30" s="59"/>
      <c r="E30" s="59"/>
    </row>
    <row r="31" spans="2:5" ht="15.75" customHeight="1" x14ac:dyDescent="0.25">
      <c r="B31" s="68" t="s">
        <v>776</v>
      </c>
      <c r="C31" s="68"/>
      <c r="D31" s="68"/>
      <c r="E31" s="68"/>
    </row>
    <row r="32" spans="2:5" ht="15.75" customHeight="1" x14ac:dyDescent="0.25">
      <c r="B32" s="68"/>
      <c r="C32" s="68"/>
      <c r="D32" s="68"/>
      <c r="E32" s="68"/>
    </row>
    <row r="33" spans="2:5" ht="15.75" customHeight="1" x14ac:dyDescent="0.25">
      <c r="B33" s="68"/>
      <c r="C33" s="68"/>
      <c r="D33" s="68"/>
      <c r="E33" s="68"/>
    </row>
    <row r="34" spans="2:5" ht="15.75" customHeight="1" x14ac:dyDescent="0.25">
      <c r="B34" s="68"/>
      <c r="C34" s="68"/>
      <c r="D34" s="68"/>
      <c r="E34" s="68"/>
    </row>
    <row r="35" spans="2:5" ht="15.75" customHeight="1" x14ac:dyDescent="0.25">
      <c r="B35" s="68"/>
      <c r="C35" s="68"/>
      <c r="D35" s="68"/>
      <c r="E35" s="68"/>
    </row>
    <row r="36" spans="2:5" ht="15.75" customHeight="1" x14ac:dyDescent="0.25">
      <c r="B36" s="68"/>
      <c r="C36" s="68"/>
      <c r="D36" s="68"/>
      <c r="E36" s="68"/>
    </row>
    <row r="37" spans="2:5" ht="15.75" customHeight="1" x14ac:dyDescent="0.25">
      <c r="B37" s="68"/>
      <c r="C37" s="68"/>
      <c r="D37" s="68"/>
      <c r="E37" s="68"/>
    </row>
    <row r="38" spans="2:5" ht="15.75" customHeight="1" x14ac:dyDescent="0.25">
      <c r="B38" s="68"/>
      <c r="C38" s="68"/>
      <c r="D38" s="68"/>
      <c r="E38" s="68"/>
    </row>
    <row r="39" spans="2:5" ht="15.75" customHeight="1" x14ac:dyDescent="0.25">
      <c r="B39" s="68"/>
      <c r="C39" s="68"/>
      <c r="D39" s="68"/>
      <c r="E39" s="68"/>
    </row>
    <row r="40" spans="2:5" ht="15.75" customHeight="1" x14ac:dyDescent="0.25">
      <c r="B40" s="68"/>
      <c r="C40" s="68"/>
      <c r="D40" s="68"/>
      <c r="E40" s="68"/>
    </row>
    <row r="41" spans="2:5" ht="15.75" customHeight="1" x14ac:dyDescent="0.25">
      <c r="B41" s="68"/>
      <c r="C41" s="68"/>
      <c r="D41" s="68"/>
      <c r="E41" s="68"/>
    </row>
    <row r="42" spans="2:5" ht="15.75" customHeight="1" x14ac:dyDescent="0.25">
      <c r="B42" s="68"/>
      <c r="C42" s="68"/>
      <c r="D42" s="68"/>
      <c r="E42" s="68"/>
    </row>
    <row r="43" spans="2:5" ht="15.75" customHeight="1" x14ac:dyDescent="0.25">
      <c r="B43" s="68"/>
      <c r="C43" s="68"/>
      <c r="D43" s="68"/>
      <c r="E43" s="68"/>
    </row>
    <row r="44" spans="2:5" ht="15.75" customHeight="1" x14ac:dyDescent="0.25">
      <c r="B44" s="68"/>
      <c r="C44" s="68"/>
      <c r="D44" s="68"/>
      <c r="E44" s="68"/>
    </row>
    <row r="45" spans="2:5" ht="15.75" customHeight="1" x14ac:dyDescent="0.25">
      <c r="B45" s="68"/>
      <c r="C45" s="68"/>
      <c r="D45" s="68"/>
      <c r="E45" s="68"/>
    </row>
    <row r="46" spans="2:5" ht="15.75" customHeight="1" x14ac:dyDescent="0.25">
      <c r="B46" s="68"/>
      <c r="C46" s="68"/>
      <c r="D46" s="68"/>
      <c r="E46" s="68"/>
    </row>
    <row r="50" spans="1:5" ht="18" customHeight="1" x14ac:dyDescent="0.25">
      <c r="A50" s="60" t="s">
        <v>50</v>
      </c>
      <c r="B50" s="60"/>
      <c r="C50" s="60"/>
      <c r="D50" s="60"/>
      <c r="E50" s="60"/>
    </row>
  </sheetData>
  <mergeCells count="18">
    <mergeCell ref="B30:E30"/>
    <mergeCell ref="B31:E46"/>
    <mergeCell ref="A50:E50"/>
    <mergeCell ref="B23:E23"/>
    <mergeCell ref="B24:E24"/>
    <mergeCell ref="B25:E25"/>
    <mergeCell ref="B26:E26"/>
    <mergeCell ref="B27:E27"/>
    <mergeCell ref="B18:E18"/>
    <mergeCell ref="B19:E19"/>
    <mergeCell ref="B20:E20"/>
    <mergeCell ref="B21:E21"/>
    <mergeCell ref="B22:E22"/>
    <mergeCell ref="B1:E1"/>
    <mergeCell ref="B5:E5"/>
    <mergeCell ref="B15:E15"/>
    <mergeCell ref="B16:E16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45</vt:i4>
      </vt:variant>
    </vt:vector>
  </HeadingPairs>
  <TitlesOfParts>
    <vt:vector size="58" baseType="lpstr">
      <vt:lpstr>0_Sommaire</vt:lpstr>
      <vt:lpstr>1_Hypothèses</vt:lpstr>
      <vt:lpstr>2_Dashboard</vt:lpstr>
      <vt:lpstr>3_Drivers_CA</vt:lpstr>
      <vt:lpstr>4_ZBB_Charges</vt:lpstr>
      <vt:lpstr>5_Personnel_CNSS</vt:lpstr>
      <vt:lpstr>6_CPC_Normalisé</vt:lpstr>
      <vt:lpstr>7_Bilan_Synthèse</vt:lpstr>
      <vt:lpstr>8_Reporting_3A</vt:lpstr>
      <vt:lpstr>9_Mapping_CGNC</vt:lpstr>
      <vt:lpstr>10_Heatmap_Ecarts</vt:lpstr>
      <vt:lpstr>11_Contrôles</vt:lpstr>
      <vt:lpstr>12_PowerQuery_Doc</vt:lpstr>
      <vt:lpstr>AMO_PAT</vt:lpstr>
      <vt:lpstr>AMO_SAL</vt:lpstr>
      <vt:lpstr>BFR_N</vt:lpstr>
      <vt:lpstr>BFR_NPLUS1</vt:lpstr>
      <vt:lpstr>CA_DETAIL_RANGE</vt:lpstr>
      <vt:lpstr>CA_TOTAL_NPLUS1</vt:lpstr>
      <vt:lpstr>CHARGES_PATRONALES</vt:lpstr>
      <vt:lpstr>CIMR_ACTIF</vt:lpstr>
      <vt:lpstr>CIMR_PAT</vt:lpstr>
      <vt:lpstr>CIMR_SAL</vt:lpstr>
      <vt:lpstr>CM_PLANCHER</vt:lpstr>
      <vt:lpstr>CNSS_PAT</vt:lpstr>
      <vt:lpstr>CNSS_SAL</vt:lpstr>
      <vt:lpstr>COUT_EMPLOYEUR_TOTAL</vt:lpstr>
      <vt:lpstr>DIO_CIBLE</vt:lpstr>
      <vt:lpstr>DPO_CIBLE</vt:lpstr>
      <vt:lpstr>DSO_CIBLE</vt:lpstr>
      <vt:lpstr>DSO_NPLUS1</vt:lpstr>
      <vt:lpstr>EBITDA_N</vt:lpstr>
      <vt:lpstr>EBITDA_NPLUS1</vt:lpstr>
      <vt:lpstr>EQUILIBRE_BILAN_NPLUS1</vt:lpstr>
      <vt:lpstr>GEAR_NPLUS1</vt:lpstr>
      <vt:lpstr>INFLATION</vt:lpstr>
      <vt:lpstr>IS_DU_NPLUS1</vt:lpstr>
      <vt:lpstr>MASSE_SALARIALE_BRUTE</vt:lpstr>
      <vt:lpstr>PLAFOND_CNSS</vt:lpstr>
      <vt:lpstr>RAI_NPLUS1</vt:lpstr>
      <vt:lpstr>RESULTAT_NET_N</vt:lpstr>
      <vt:lpstr>RESULTAT_NET_NM1</vt:lpstr>
      <vt:lpstr>RESULTAT_NET_NPLUS1</vt:lpstr>
      <vt:lpstr>REX_NPLUS1</vt:lpstr>
      <vt:lpstr>RNET_RANGE</vt:lpstr>
      <vt:lpstr>SEUIL_MAD</vt:lpstr>
      <vt:lpstr>SEUIL_PCT</vt:lpstr>
      <vt:lpstr>TAUX_CM</vt:lpstr>
      <vt:lpstr>TAUX_IS</vt:lpstr>
      <vt:lpstr>TAXE_FORM</vt:lpstr>
      <vt:lpstr>TOTAL_BILAN_NPLUS1</vt:lpstr>
      <vt:lpstr>TOTAL_PASSIF_NPLUS1</vt:lpstr>
      <vt:lpstr>VENTES_711</vt:lpstr>
      <vt:lpstr>VENTES_712</vt:lpstr>
      <vt:lpstr>WACC</vt:lpstr>
      <vt:lpstr>ZBB_BUDGET_NPLUS1</vt:lpstr>
      <vt:lpstr>ZBB_REEL_N</vt:lpstr>
      <vt:lpstr>ZBB_REEL_NM1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Yassine El Gamouz</cp:lastModifiedBy>
  <cp:revision>1</cp:revision>
  <dcterms:created xsi:type="dcterms:W3CDTF">2026-04-25T14:46:55Z</dcterms:created>
  <dcterms:modified xsi:type="dcterms:W3CDTF">2026-04-28T14:35:36Z</dcterms:modified>
  <dc:language>en-US</dc:language>
</cp:coreProperties>
</file>